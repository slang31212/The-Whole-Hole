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ost Breakdown" sheetId="2" state="visible" r:id="rId2"/>
    <sheet name="Lifetime Summary" sheetId="3" state="visible" r:id="rId3"/>
    <sheet name="LCO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£#,##0"/>
    <numFmt numFmtId="166" formatCode="0.0000"/>
    <numFmt numFmtId="167" formatCode="£#,##0.00&quot; /MWh&quot;"/>
  </numFmts>
  <fonts count="23">
    <font>
      <name val="Calibri"/>
      <family val="2"/>
      <color theme="1"/>
      <sz val="11"/>
      <scheme val="minor"/>
    </font>
    <font>
      <b val="1"/>
      <color rgb="001F3B57"/>
      <sz val="16"/>
    </font>
    <font>
      <i val="1"/>
      <color rgb="005B7A8C"/>
      <sz val="10"/>
    </font>
    <font>
      <b val="1"/>
      <color rgb="00FFFFFF"/>
      <sz val="11"/>
    </font>
    <font>
      <sz val="10"/>
    </font>
    <font>
      <b val="1"/>
      <color rgb="00C8892E"/>
      <sz val="11"/>
    </font>
    <font>
      <color rgb="005B7A8C"/>
      <sz val="9"/>
    </font>
    <font>
      <i val="1"/>
      <color rgb="005B7A8C"/>
      <sz val="9"/>
    </font>
    <font>
      <b val="1"/>
      <color rgb="001F3B57"/>
    </font>
    <font>
      <b val="1"/>
      <color rgb="001F3B57"/>
      <sz val="15"/>
    </font>
    <font>
      <b val="1"/>
      <color rgb="00FFFFFF"/>
      <sz val="10"/>
    </font>
    <font>
      <b val="1"/>
      <i val="1"/>
      <color rgb="002E6E8E"/>
      <sz val="10"/>
    </font>
    <font>
      <color rgb="00FFFFFF"/>
      <sz val="8"/>
    </font>
    <font>
      <b val="1"/>
      <color rgb="001F3B57"/>
      <sz val="11"/>
    </font>
    <font>
      <color rgb="005B7A8C"/>
      <sz val="8"/>
    </font>
    <font>
      <color rgb="001A1A1A"/>
      <sz val="10"/>
    </font>
    <font>
      <color rgb="00333333"/>
      <sz val="10"/>
    </font>
    <font>
      <b val="1"/>
      <color rgb="001F3B57"/>
      <sz val="10"/>
    </font>
    <font>
      <b val="1"/>
      <color rgb="00FFFFFF"/>
      <sz val="12"/>
    </font>
    <font>
      <b val="1"/>
      <color rgb="00FFFFFF"/>
    </font>
    <font>
      <b val="1"/>
      <color rgb="001F3B57"/>
      <sz val="12"/>
    </font>
    <font>
      <b val="1"/>
      <color rgb="00FFFFFF"/>
      <sz val="9"/>
    </font>
    <font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2E6E8E"/>
      </patternFill>
    </fill>
    <fill>
      <patternFill patternType="solid">
        <fgColor rgb="00FBF3E6"/>
      </patternFill>
    </fill>
    <fill>
      <patternFill patternType="solid">
        <fgColor rgb="001F3B57"/>
      </patternFill>
    </fill>
    <fill>
      <patternFill patternType="solid">
        <fgColor rgb="00EAF1F5"/>
      </patternFill>
    </fill>
    <fill>
      <patternFill patternType="solid">
        <fgColor rgb="00F4F8FA"/>
      </patternFill>
    </fill>
    <fill>
      <patternFill patternType="solid">
        <fgColor rgb="00C8892E"/>
      </patternFill>
    </fill>
  </fills>
  <borders count="3">
    <border>
      <left/>
      <right/>
      <top/>
      <bottom/>
      <diagonal/>
    </border>
    <border>
      <left style="thin">
        <color rgb="00D0D8DE"/>
      </left>
      <right style="thin">
        <color rgb="00D0D8DE"/>
      </right>
      <top style="thin">
        <color rgb="00D0D8DE"/>
      </top>
      <bottom style="thin">
        <color rgb="00D0D8DE"/>
      </bottom>
    </border>
    <border>
      <top style="medium">
        <color rgb="001F3B57"/>
      </top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0" fontId="5" fillId="3" borderId="1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1" fontId="8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8" fillId="3" borderId="1" applyAlignment="1" pivotButton="0" quotePrefix="0" xfId="0">
      <alignment horizontal="right"/>
    </xf>
    <xf numFmtId="3" fontId="8" fillId="3" borderId="1" applyAlignment="1" pivotButton="0" quotePrefix="0" xfId="0">
      <alignment horizontal="right"/>
    </xf>
    <xf numFmtId="0" fontId="9" fillId="0" borderId="0" pivotButton="0" quotePrefix="0" xfId="0"/>
    <xf numFmtId="0" fontId="10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right" vertical="center" wrapText="1"/>
    </xf>
    <xf numFmtId="0" fontId="11" fillId="0" borderId="0" pivotButton="0" quotePrefix="0" xfId="0"/>
    <xf numFmtId="0" fontId="7" fillId="0" borderId="0" applyAlignment="1" pivotButton="0" quotePrefix="0" xfId="0">
      <alignment horizontal="right"/>
    </xf>
    <xf numFmtId="0" fontId="3" fillId="4" borderId="0" pivotButton="0" quotePrefix="0" xfId="0"/>
    <xf numFmtId="0" fontId="12" fillId="4" borderId="0" applyAlignment="1" pivotButton="0" quotePrefix="0" xfId="0">
      <alignment horizontal="right"/>
    </xf>
    <xf numFmtId="165" fontId="10" fillId="4" borderId="0" applyAlignment="1" pivotButton="0" quotePrefix="0" xfId="0">
      <alignment horizontal="right"/>
    </xf>
    <xf numFmtId="0" fontId="13" fillId="5" borderId="0" applyAlignment="1" pivotButton="0" quotePrefix="0" xfId="0">
      <alignment indent="1"/>
    </xf>
    <xf numFmtId="0" fontId="14" fillId="5" borderId="0" applyAlignment="1" pivotButton="0" quotePrefix="0" xfId="0">
      <alignment horizontal="right"/>
    </xf>
    <xf numFmtId="165" fontId="17" fillId="5" borderId="0" applyAlignment="1" pivotButton="0" quotePrefix="0" xfId="0">
      <alignment horizontal="right"/>
    </xf>
    <xf numFmtId="0" fontId="15" fillId="6" borderId="0" applyAlignment="1" pivotButton="0" quotePrefix="0" xfId="0">
      <alignment indent="2"/>
    </xf>
    <xf numFmtId="0" fontId="14" fillId="6" borderId="0" applyAlignment="1" pivotButton="0" quotePrefix="0" xfId="0">
      <alignment horizontal="right"/>
    </xf>
    <xf numFmtId="165" fontId="16" fillId="6" borderId="0" applyAlignment="1" pivotButton="0" quotePrefix="0" xfId="0">
      <alignment horizontal="right"/>
    </xf>
    <xf numFmtId="0" fontId="3" fillId="7" borderId="2" pivotButton="0" quotePrefix="0" xfId="0"/>
    <xf numFmtId="165" fontId="3" fillId="7" borderId="2" applyAlignment="1" pivotButton="0" quotePrefix="0" xfId="0">
      <alignment horizontal="right"/>
    </xf>
    <xf numFmtId="0" fontId="18" fillId="4" borderId="0" pivotButton="0" quotePrefix="0" xfId="0"/>
    <xf numFmtId="0" fontId="18" fillId="4" borderId="0" applyAlignment="1" pivotButton="0" quotePrefix="0" xfId="0">
      <alignment horizontal="right"/>
    </xf>
    <xf numFmtId="165" fontId="18" fillId="4" borderId="0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19" fillId="4" borderId="1" applyAlignment="1" pivotButton="0" quotePrefix="0" xfId="0">
      <alignment horizontal="left"/>
    </xf>
    <xf numFmtId="0" fontId="19" fillId="4" borderId="1" applyAlignment="1" pivotButton="0" quotePrefix="0" xfId="0">
      <alignment horizontal="right"/>
    </xf>
    <xf numFmtId="0" fontId="4" fillId="0" borderId="1" pivotButton="0" quotePrefix="0" xfId="0"/>
    <xf numFmtId="165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19" fillId="7" borderId="0" pivotButton="0" quotePrefix="0" xfId="0"/>
    <xf numFmtId="165" fontId="19" fillId="7" borderId="0" applyAlignment="1" pivotButton="0" quotePrefix="0" xfId="0">
      <alignment horizontal="right"/>
    </xf>
    <xf numFmtId="164" fontId="19" fillId="7" borderId="0" applyAlignment="1" pivotButton="0" quotePrefix="0" xfId="0">
      <alignment horizontal="right"/>
    </xf>
    <xf numFmtId="0" fontId="20" fillId="0" borderId="0" pivotButton="0" quotePrefix="0" xfId="0"/>
    <xf numFmtId="167" fontId="22" fillId="2" borderId="0" applyAlignment="1" pivotButton="0" quotePrefix="0" xfId="0">
      <alignment horizontal="center"/>
    </xf>
    <xf numFmtId="0" fontId="21" fillId="4" borderId="1" applyAlignment="1" pivotButton="0" quotePrefix="0" xfId="0">
      <alignment horizontal="center" vertical="center" wrapText="1"/>
    </xf>
    <xf numFmtId="1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" fontId="0" fillId="6" borderId="1" pivotButton="0" quotePrefix="0" xfId="0"/>
    <xf numFmtId="0" fontId="0" fillId="6" borderId="1" pivotButton="0" quotePrefix="0" xfId="0"/>
    <xf numFmtId="165" fontId="0" fillId="6" borderId="1" pivotButton="0" quotePrefix="0" xfId="0"/>
    <xf numFmtId="3" fontId="0" fillId="6" borderId="1" pivotButton="0" quotePrefix="0" xfId="0"/>
    <xf numFmtId="166" fontId="0" fillId="6" borderId="1" pivotButton="0" quotePrefix="0" xfId="0"/>
    <xf numFmtId="165" fontId="19" fillId="7" borderId="0" pivotButton="0" quotePrefix="0" xfId="0"/>
    <xf numFmtId="3" fontId="19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Lifetime cost contribution by element</a:t>
            </a:r>
          </a:p>
        </rich>
      </tx>
    </title>
    <plotArea>
      <pieChart>
        <varyColors val="1"/>
        <ser>
          <idx val="0"/>
          <order val="0"/>
          <tx>
            <strRef>
              <f>'Lifetime Summary'!C5</f>
            </strRef>
          </tx>
          <spPr>
            <a:ln>
              <a:prstDash val="solid"/>
            </a:ln>
          </spPr>
          <cat>
            <numRef>
              <f>'Lifetime Summary'!$B$6:$B$11</f>
            </numRef>
          </cat>
          <val>
            <numRef>
              <f>'Lifetime Summary'!$C$6:$C$11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16" customWidth="1" min="3" max="3"/>
    <col width="14" customWidth="1" min="4" max="4"/>
    <col width="60" customWidth="1" min="5" max="5"/>
  </cols>
  <sheetData>
    <row r="2">
      <c r="B2" s="1" t="inlineStr">
        <is>
          <t>Floating Offshore Wind Farm — Cost Model</t>
        </is>
      </c>
    </row>
    <row r="3">
      <c r="B3" s="2" t="inlineStr">
        <is>
          <t>Dynamic line-item cost breakdown, rolling up to full wind-farm level.  Real 2024 prices (£).</t>
        </is>
      </c>
    </row>
    <row r="5">
      <c r="B5" s="3" t="inlineStr">
        <is>
          <t>Site definition</t>
        </is>
      </c>
    </row>
    <row r="6">
      <c r="B6" s="4" t="inlineStr">
        <is>
          <t>Wind farm rating</t>
        </is>
      </c>
      <c r="C6" s="5" t="n">
        <v>1000</v>
      </c>
      <c r="D6" s="6" t="inlineStr">
        <is>
          <t>MW</t>
        </is>
      </c>
      <c r="E6" s="7" t="inlineStr">
        <is>
          <t>Total installed capacity — drives every full-farm total</t>
        </is>
      </c>
    </row>
    <row r="7">
      <c r="B7" s="4" t="inlineStr">
        <is>
          <t>Turbine rating</t>
        </is>
      </c>
      <c r="C7" s="5" t="n">
        <v>15</v>
      </c>
      <c r="D7" s="6" t="inlineStr">
        <is>
          <t>MW</t>
        </is>
      </c>
    </row>
    <row r="8">
      <c r="B8" s="4" t="inlineStr">
        <is>
          <t>Number of turbines</t>
        </is>
      </c>
      <c r="C8" s="8">
        <f>ROUND(C6/C7,0)</f>
        <v/>
      </c>
      <c r="D8" s="6" t="inlineStr"/>
      <c r="E8" s="7">
        <f> farm rating / turbine rating</f>
        <v/>
      </c>
    </row>
    <row r="9">
      <c r="B9" s="4" t="inlineStr">
        <is>
          <t>Water depth at site</t>
        </is>
      </c>
      <c r="C9" s="5" t="n">
        <v>100</v>
      </c>
      <c r="D9" s="6" t="inlineStr">
        <is>
          <t>m</t>
        </is>
      </c>
    </row>
    <row r="10">
      <c r="B10" s="4" t="inlineStr">
        <is>
          <t>Annual mean wind speed at 100 m</t>
        </is>
      </c>
      <c r="C10" s="5" t="n">
        <v>10</v>
      </c>
      <c r="D10" s="6" t="inlineStr">
        <is>
          <t>m/s</t>
        </is>
      </c>
    </row>
    <row r="11">
      <c r="B11" s="4" t="inlineStr">
        <is>
          <t>Offshore substation to shore</t>
        </is>
      </c>
      <c r="C11" s="5" t="n">
        <v>75</v>
      </c>
      <c r="D11" s="6" t="inlineStr">
        <is>
          <t>km</t>
        </is>
      </c>
    </row>
    <row r="12">
      <c r="B12" s="4" t="inlineStr">
        <is>
          <t>Shore to onshore substation</t>
        </is>
      </c>
      <c r="C12" s="5" t="n">
        <v>10</v>
      </c>
      <c r="D12" s="6" t="inlineStr">
        <is>
          <t>km</t>
        </is>
      </c>
    </row>
    <row r="14">
      <c r="B14" s="3" t="inlineStr">
        <is>
          <t>Programme</t>
        </is>
      </c>
    </row>
    <row r="15">
      <c r="B15" s="4" t="inlineStr">
        <is>
          <t>Year of FID</t>
        </is>
      </c>
      <c r="C15" s="5" t="n">
        <v>2028</v>
      </c>
      <c r="D15" s="6" t="inlineStr"/>
      <c r="E15" s="7" t="inlineStr">
        <is>
          <t>Discounting base year (t = 0)</t>
        </is>
      </c>
    </row>
    <row r="16">
      <c r="B16" s="4" t="inlineStr">
        <is>
          <t>First operation date</t>
        </is>
      </c>
      <c r="C16" s="5" t="n">
        <v>2030</v>
      </c>
      <c r="D16" s="6" t="inlineStr"/>
    </row>
    <row r="17">
      <c r="B17" s="4" t="inlineStr">
        <is>
          <t>Construction period</t>
        </is>
      </c>
      <c r="C17" s="5" t="n">
        <v>2</v>
      </c>
      <c r="D17" s="6" t="inlineStr">
        <is>
          <t>years</t>
        </is>
      </c>
      <c r="E17" s="7" t="inlineStr">
        <is>
          <t>CAPEX spread across the years before first operation</t>
        </is>
      </c>
    </row>
    <row r="18">
      <c r="B18" s="4" t="inlineStr">
        <is>
          <t>Operational life</t>
        </is>
      </c>
      <c r="C18" s="5" t="n">
        <v>30</v>
      </c>
      <c r="D18" s="6" t="inlineStr">
        <is>
          <t>years</t>
        </is>
      </c>
      <c r="E18" s="7" t="inlineStr">
        <is>
          <t>Assumption — used for OPEX lifetime and LCOE</t>
        </is>
      </c>
    </row>
    <row r="20">
      <c r="B20" s="3" t="inlineStr">
        <is>
          <t>Financial &amp; energy</t>
        </is>
      </c>
    </row>
    <row r="21">
      <c r="B21" s="4" t="inlineStr">
        <is>
          <t>Discount rate (WACC)</t>
        </is>
      </c>
      <c r="C21" s="9" t="n">
        <v>0.08</v>
      </c>
      <c r="D21" s="6" t="inlineStr"/>
      <c r="E21" s="7" t="inlineStr">
        <is>
          <t>Real, pre-tax; used for LCOE discounting</t>
        </is>
      </c>
    </row>
    <row r="22">
      <c r="B22" s="4" t="inlineStr">
        <is>
          <t>Gross capacity factor</t>
        </is>
      </c>
      <c r="C22" s="9" t="n">
        <v>0.55</v>
      </c>
      <c r="D22" s="6" t="inlineStr"/>
      <c r="E22" s="7" t="inlineStr">
        <is>
          <t>Before availability &amp; electrical losses</t>
        </is>
      </c>
    </row>
    <row r="23">
      <c r="B23" s="4" t="inlineStr">
        <is>
          <t>Availability</t>
        </is>
      </c>
      <c r="C23" s="9" t="n">
        <v>0.95</v>
      </c>
      <c r="D23" s="6" t="inlineStr"/>
      <c r="E23" s="7" t="inlineStr">
        <is>
          <t>Technical availability of the wind farm</t>
        </is>
      </c>
    </row>
    <row r="24">
      <c r="B24" s="4" t="inlineStr">
        <is>
          <t>Electrical / transmission losses</t>
        </is>
      </c>
      <c r="C24" s="9" t="n">
        <v>0.03</v>
      </c>
      <c r="D24" s="6" t="inlineStr"/>
      <c r="E24" s="7" t="inlineStr">
        <is>
          <t>Array + export + substation losses</t>
        </is>
      </c>
    </row>
    <row r="25">
      <c r="B25" s="4" t="inlineStr">
        <is>
          <t>Net load factor</t>
        </is>
      </c>
      <c r="C25" s="10">
        <f>C22*C23*(1-C24)</f>
        <v/>
      </c>
      <c r="D25" s="6" t="inlineStr"/>
      <c r="E25" s="7">
        <f> gross CF × availability × (1 − losses)</f>
        <v/>
      </c>
    </row>
    <row r="26">
      <c r="B26" s="4" t="inlineStr">
        <is>
          <t>Net annual energy (AEP)</t>
        </is>
      </c>
      <c r="C26" s="11">
        <f>C6*8760*C25</f>
        <v/>
      </c>
      <c r="D26" s="6" t="inlineStr">
        <is>
          <t>MWh/yr</t>
        </is>
      </c>
      <c r="E26" s="7">
        <f> rating × 8,760 h × net load factor</f>
        <v/>
      </c>
    </row>
    <row r="28">
      <c r="B28" s="7" t="inlineStr">
        <is>
          <t>Cells shaded orange are inputs — change them and the whole model recalculates. All other figures are formulas.</t>
        </is>
      </c>
    </row>
  </sheetData>
  <mergeCells count="4">
    <mergeCell ref="B14:E14"/>
    <mergeCell ref="B28:E28"/>
    <mergeCell ref="B5:E5"/>
    <mergeCell ref="B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2:G10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6" customWidth="1" min="2" max="2"/>
    <col width="12" customWidth="1" min="3" max="3"/>
    <col width="15" customWidth="1" min="4" max="4"/>
    <col width="18" customWidth="1" min="5" max="5"/>
    <col width="15" customWidth="1" min="6" max="6"/>
    <col width="13" customWidth="1" min="7" max="7"/>
  </cols>
  <sheetData>
    <row r="2">
      <c r="B2" s="12" t="inlineStr">
        <is>
          <t>Cost Breakdown Structure</t>
        </is>
      </c>
    </row>
    <row r="3">
      <c r="B3" s="2" t="inlineStr">
        <is>
          <t>Line items roll up to assemblies and full wind-farm level. Use the +/− outline buttons on the left to collapse each assembly.</t>
        </is>
      </c>
    </row>
    <row r="5" ht="30" customHeight="1">
      <c r="B5" s="13" t="inlineStr">
        <is>
          <t>Cost item</t>
        </is>
      </c>
      <c r="C5" s="14" t="inlineStr">
        <is>
          <t>Unit</t>
        </is>
      </c>
      <c r="D5" s="14" t="inlineStr">
        <is>
          <t>Rate</t>
        </is>
      </c>
      <c r="E5" s="14" t="inlineStr">
        <is>
          <t>Wind farm total</t>
        </is>
      </c>
      <c r="F5" s="14" t="inlineStr">
        <is>
          <t>Stated (source)</t>
        </is>
      </c>
      <c r="G5" s="14" t="inlineStr">
        <is>
          <t>Variance</t>
        </is>
      </c>
    </row>
    <row r="6">
      <c r="B6" s="15" t="inlineStr">
        <is>
          <t>CAPEX  —  Capital expenditure (one-off)</t>
        </is>
      </c>
      <c r="C6" s="16" t="inlineStr">
        <is>
          <t>£/MW</t>
        </is>
      </c>
    </row>
    <row r="7">
      <c r="B7" s="17" t="inlineStr">
        <is>
          <t>Development and project management</t>
        </is>
      </c>
      <c r="C7" s="18" t="inlineStr">
        <is>
          <t>£/MW</t>
        </is>
      </c>
      <c r="D7" s="19">
        <f>SUM(D8,D11,D15,D19,D23,D24)</f>
        <v/>
      </c>
      <c r="E7" s="19">
        <f>D7*Assumptions!$C$6</f>
        <v/>
      </c>
      <c r="F7" s="19" t="n">
        <v>155000</v>
      </c>
      <c r="G7" s="19">
        <f>D7-F7</f>
        <v/>
      </c>
    </row>
    <row r="8" outlineLevel="1">
      <c r="B8" s="20" t="inlineStr">
        <is>
          <t xml:space="preserve">    Development and consenting services</t>
        </is>
      </c>
      <c r="C8" s="21" t="inlineStr">
        <is>
          <t>£/MW</t>
        </is>
      </c>
      <c r="D8" s="22">
        <f>SUM(D9,D10)</f>
        <v/>
      </c>
      <c r="E8" s="22">
        <f>D8*Assumptions!$C$6</f>
        <v/>
      </c>
      <c r="F8" s="22" t="n">
        <v>72000</v>
      </c>
      <c r="G8" s="22">
        <f>D8-F8</f>
        <v/>
      </c>
    </row>
    <row r="9" outlineLevel="2">
      <c r="B9" s="23" t="inlineStr">
        <is>
          <t xml:space="preserve">        Environmental impact assessments</t>
        </is>
      </c>
      <c r="C9" s="24" t="inlineStr">
        <is>
          <t>£/MW</t>
        </is>
      </c>
      <c r="D9" s="25" t="n">
        <v>11000</v>
      </c>
      <c r="E9" s="25">
        <f>D9*Assumptions!$C$6</f>
        <v/>
      </c>
      <c r="F9" s="25" t="n">
        <v>11000</v>
      </c>
      <c r="G9" s="25">
        <f>D9-F9</f>
        <v/>
      </c>
    </row>
    <row r="10" outlineLevel="2">
      <c r="B10" s="23" t="inlineStr">
        <is>
          <t xml:space="preserve">        Development activities and other consenting services</t>
        </is>
      </c>
      <c r="C10" s="24" t="inlineStr">
        <is>
          <t>£/MW</t>
        </is>
      </c>
      <c r="D10" s="25" t="n">
        <v>62000</v>
      </c>
      <c r="E10" s="25">
        <f>D10*Assumptions!$C$6</f>
        <v/>
      </c>
      <c r="F10" s="25" t="n">
        <v>62000</v>
      </c>
      <c r="G10" s="25">
        <f>D10-F10</f>
        <v/>
      </c>
    </row>
    <row r="11" outlineLevel="1">
      <c r="B11" s="20" t="inlineStr">
        <is>
          <t xml:space="preserve">    Environmental surveys</t>
        </is>
      </c>
      <c r="C11" s="21" t="inlineStr">
        <is>
          <t>£/MW</t>
        </is>
      </c>
      <c r="D11" s="22">
        <f>SUM(D12,D13,D14)</f>
        <v/>
      </c>
      <c r="E11" s="22">
        <f>D11*Assumptions!$C$6</f>
        <v/>
      </c>
      <c r="F11" s="22" t="n">
        <v>9000</v>
      </c>
      <c r="G11" s="22">
        <f>D11-F11</f>
        <v/>
      </c>
    </row>
    <row r="12" outlineLevel="2">
      <c r="B12" s="23" t="inlineStr">
        <is>
          <t xml:space="preserve">        Animal surveys (benthic, fish, shellfish, mammals and birds)</t>
        </is>
      </c>
      <c r="C12" s="24" t="inlineStr">
        <is>
          <t>£/MW</t>
        </is>
      </c>
      <c r="D12" s="25" t="n">
        <v>7000</v>
      </c>
      <c r="E12" s="25">
        <f>D12*Assumptions!$C$6</f>
        <v/>
      </c>
      <c r="F12" s="25" t="n">
        <v>7000</v>
      </c>
      <c r="G12" s="25">
        <f>D12-F12</f>
        <v/>
      </c>
    </row>
    <row r="13" outlineLevel="2">
      <c r="B13" s="23" t="inlineStr">
        <is>
          <t xml:space="preserve">        Onshore environmental surveys</t>
        </is>
      </c>
      <c r="C13" s="24" t="inlineStr">
        <is>
          <t>£/MW</t>
        </is>
      </c>
      <c r="D13" s="25" t="n">
        <v>1000</v>
      </c>
      <c r="E13" s="25">
        <f>D13*Assumptions!$C$6</f>
        <v/>
      </c>
      <c r="F13" s="25" t="n">
        <v>1000</v>
      </c>
      <c r="G13" s="25">
        <f>D13-F13</f>
        <v/>
      </c>
    </row>
    <row r="14" outlineLevel="2">
      <c r="B14" s="23" t="inlineStr">
        <is>
          <t xml:space="preserve">        Human impact studies</t>
        </is>
      </c>
      <c r="C14" s="24" t="inlineStr">
        <is>
          <t>£/MW</t>
        </is>
      </c>
      <c r="D14" s="25" t="n">
        <v>1000</v>
      </c>
      <c r="E14" s="25">
        <f>D14*Assumptions!$C$6</f>
        <v/>
      </c>
      <c r="F14" s="25" t="n">
        <v>1000</v>
      </c>
      <c r="G14" s="25">
        <f>D14-F14</f>
        <v/>
      </c>
    </row>
    <row r="15" outlineLevel="1">
      <c r="B15" s="20" t="inlineStr">
        <is>
          <t xml:space="preserve">    Resource and metocean assessment</t>
        </is>
      </c>
      <c r="C15" s="21" t="inlineStr">
        <is>
          <t>£/MW</t>
        </is>
      </c>
      <c r="D15" s="22">
        <f>SUM(D16,D17,D18)</f>
        <v/>
      </c>
      <c r="E15" s="22">
        <f>D15*Assumptions!$C$6</f>
        <v/>
      </c>
      <c r="F15" s="22" t="n">
        <v>7000</v>
      </c>
      <c r="G15" s="22">
        <f>D15-F15</f>
        <v/>
      </c>
    </row>
    <row r="16" outlineLevel="2">
      <c r="B16" s="23" t="inlineStr">
        <is>
          <t xml:space="preserve">        Structure</t>
        </is>
      </c>
      <c r="C16" s="24" t="inlineStr">
        <is>
          <t>£/MW</t>
        </is>
      </c>
      <c r="D16" s="25" t="n">
        <v>4000</v>
      </c>
      <c r="E16" s="25">
        <f>D16*Assumptions!$C$6</f>
        <v/>
      </c>
      <c r="F16" s="25" t="n">
        <v>4000</v>
      </c>
      <c r="G16" s="25">
        <f>D16-F16</f>
        <v/>
      </c>
    </row>
    <row r="17" outlineLevel="2">
      <c r="B17" s="23" t="inlineStr">
        <is>
          <t xml:space="preserve">        Sensors</t>
        </is>
      </c>
      <c r="C17" s="24" t="inlineStr">
        <is>
          <t>£/MW</t>
        </is>
      </c>
      <c r="D17" s="25" t="n">
        <v>3000</v>
      </c>
      <c r="E17" s="25">
        <f>D17*Assumptions!$C$6</f>
        <v/>
      </c>
      <c r="F17" s="25" t="n">
        <v>3000</v>
      </c>
      <c r="G17" s="25">
        <f>D17-F17</f>
        <v/>
      </c>
    </row>
    <row r="18" outlineLevel="2">
      <c r="B18" s="23" t="inlineStr">
        <is>
          <t xml:space="preserve">        Maintenance</t>
        </is>
      </c>
      <c r="C18" s="24" t="inlineStr">
        <is>
          <t>£/MW</t>
        </is>
      </c>
      <c r="D18" s="25" t="n">
        <v>1000</v>
      </c>
      <c r="E18" s="25">
        <f>D18*Assumptions!$C$6</f>
        <v/>
      </c>
      <c r="F18" s="25" t="n">
        <v>1000</v>
      </c>
      <c r="G18" s="25">
        <f>D18-F18</f>
        <v/>
      </c>
    </row>
    <row r="19" outlineLevel="1">
      <c r="B19" s="20" t="inlineStr">
        <is>
          <t xml:space="preserve">    Geological and hydrographical surveys</t>
        </is>
      </c>
      <c r="C19" s="21" t="inlineStr">
        <is>
          <t>£/MW</t>
        </is>
      </c>
      <c r="D19" s="22">
        <f>SUM(D20,D21,D22)</f>
        <v/>
      </c>
      <c r="E19" s="22">
        <f>D19*Assumptions!$C$6</f>
        <v/>
      </c>
      <c r="F19" s="22" t="n">
        <v>9000</v>
      </c>
      <c r="G19" s="22">
        <f>D19-F19</f>
        <v/>
      </c>
    </row>
    <row r="20" outlineLevel="2">
      <c r="B20" s="23" t="inlineStr">
        <is>
          <t xml:space="preserve">        Geophysical surveys</t>
        </is>
      </c>
      <c r="C20" s="24" t="inlineStr">
        <is>
          <t>£/MW</t>
        </is>
      </c>
      <c r="D20" s="25" t="n">
        <v>3000</v>
      </c>
      <c r="E20" s="25">
        <f>D20*Assumptions!$C$6</f>
        <v/>
      </c>
      <c r="F20" s="25" t="n">
        <v>3000</v>
      </c>
      <c r="G20" s="25">
        <f>D20-F20</f>
        <v/>
      </c>
    </row>
    <row r="21" outlineLevel="2">
      <c r="B21" s="23" t="inlineStr">
        <is>
          <t xml:space="preserve">        Geotechnical surveys</t>
        </is>
      </c>
      <c r="C21" s="24" t="inlineStr">
        <is>
          <t>£/MW</t>
        </is>
      </c>
      <c r="D21" s="25" t="n">
        <v>5000</v>
      </c>
      <c r="E21" s="25">
        <f>D21*Assumptions!$C$6</f>
        <v/>
      </c>
      <c r="F21" s="25" t="n">
        <v>5000</v>
      </c>
      <c r="G21" s="25">
        <f>D21-F21</f>
        <v/>
      </c>
    </row>
    <row r="22" outlineLevel="2">
      <c r="B22" s="23" t="inlineStr">
        <is>
          <t xml:space="preserve">        Hydrographic surveys</t>
        </is>
      </c>
      <c r="C22" s="24" t="inlineStr">
        <is>
          <t>£/MW</t>
        </is>
      </c>
      <c r="D22" s="25" t="n">
        <v>2000</v>
      </c>
      <c r="E22" s="25">
        <f>D22*Assumptions!$C$6</f>
        <v/>
      </c>
      <c r="F22" s="25" t="n">
        <v>2000</v>
      </c>
      <c r="G22" s="25">
        <f>D22-F22</f>
        <v/>
      </c>
    </row>
    <row r="23" outlineLevel="1">
      <c r="B23" s="20" t="inlineStr">
        <is>
          <t xml:space="preserve">    Engineering and consultancy</t>
        </is>
      </c>
      <c r="C23" s="21" t="inlineStr">
        <is>
          <t>£/MW</t>
        </is>
      </c>
      <c r="D23" s="22" t="n">
        <v>9000</v>
      </c>
      <c r="E23" s="22">
        <f>D23*Assumptions!$C$6</f>
        <v/>
      </c>
      <c r="F23" s="22" t="n">
        <v>9000</v>
      </c>
      <c r="G23" s="22">
        <f>D23-F23</f>
        <v/>
      </c>
    </row>
    <row r="24" outlineLevel="1">
      <c r="B24" s="20" t="inlineStr">
        <is>
          <t xml:space="preserve">    Project management</t>
        </is>
      </c>
      <c r="C24" s="21" t="inlineStr">
        <is>
          <t>£/MW</t>
        </is>
      </c>
      <c r="D24" s="22" t="n">
        <v>48000</v>
      </c>
      <c r="E24" s="22">
        <f>D24*Assumptions!$C$6</f>
        <v/>
      </c>
      <c r="F24" s="22" t="n">
        <v>48000</v>
      </c>
      <c r="G24" s="22">
        <f>D24-F24</f>
        <v/>
      </c>
    </row>
    <row r="25">
      <c r="B25" s="17" t="inlineStr">
        <is>
          <t>Wind turbine</t>
        </is>
      </c>
      <c r="C25" s="18" t="inlineStr">
        <is>
          <t>£/MW</t>
        </is>
      </c>
      <c r="D25" s="19">
        <f>SUM(D26,D27,D28)</f>
        <v/>
      </c>
      <c r="E25" s="19">
        <f>D25*Assumptions!$C$6</f>
        <v/>
      </c>
      <c r="F25" s="19" t="n">
        <v>1350000</v>
      </c>
      <c r="G25" s="19">
        <f>D25-F25</f>
        <v/>
      </c>
    </row>
    <row r="26" outlineLevel="1">
      <c r="B26" s="20" t="inlineStr">
        <is>
          <t xml:space="preserve">    Nacelle</t>
        </is>
      </c>
      <c r="C26" s="21" t="inlineStr">
        <is>
          <t>£/MW</t>
        </is>
      </c>
      <c r="D26" s="22" t="n">
        <v>834000</v>
      </c>
      <c r="E26" s="22">
        <f>D26*Assumptions!$C$6</f>
        <v/>
      </c>
      <c r="F26" s="22" t="n">
        <v>834000</v>
      </c>
      <c r="G26" s="22">
        <f>D26-F26</f>
        <v/>
      </c>
    </row>
    <row r="27" outlineLevel="1">
      <c r="B27" s="20" t="inlineStr">
        <is>
          <t xml:space="preserve">    Rotor</t>
        </is>
      </c>
      <c r="C27" s="21" t="inlineStr">
        <is>
          <t>£/MW</t>
        </is>
      </c>
      <c r="D27" s="22" t="n">
        <v>360000</v>
      </c>
      <c r="E27" s="22">
        <f>D27*Assumptions!$C$6</f>
        <v/>
      </c>
      <c r="F27" s="22" t="n">
        <v>360000</v>
      </c>
      <c r="G27" s="22">
        <f>D27-F27</f>
        <v/>
      </c>
    </row>
    <row r="28" outlineLevel="1">
      <c r="B28" s="20" t="inlineStr">
        <is>
          <t xml:space="preserve">    Tower</t>
        </is>
      </c>
      <c r="C28" s="21" t="inlineStr">
        <is>
          <t>£/MW</t>
        </is>
      </c>
      <c r="D28" s="22" t="n">
        <v>156000</v>
      </c>
      <c r="E28" s="22">
        <f>D28*Assumptions!$C$6</f>
        <v/>
      </c>
      <c r="F28" s="22" t="n">
        <v>156000</v>
      </c>
      <c r="G28" s="22">
        <f>D28-F28</f>
        <v/>
      </c>
    </row>
    <row r="29">
      <c r="B29" s="17" t="inlineStr">
        <is>
          <t>Balance of plant</t>
        </is>
      </c>
      <c r="C29" s="18" t="inlineStr">
        <is>
          <t>£/MW</t>
        </is>
      </c>
      <c r="D29" s="19">
        <f>SUM(D30,D31,D32,D37,D42,D48,D53)</f>
        <v/>
      </c>
      <c r="E29" s="19">
        <f>D29*Assumptions!$C$6</f>
        <v/>
      </c>
      <c r="F29" s="19" t="n">
        <v>2418000</v>
      </c>
      <c r="G29" s="19">
        <f>D29-F29</f>
        <v/>
      </c>
    </row>
    <row r="30" outlineLevel="1">
      <c r="B30" s="20" t="inlineStr">
        <is>
          <t xml:space="preserve">    Dynamic array cable</t>
        </is>
      </c>
      <c r="C30" s="21" t="inlineStr">
        <is>
          <t>£/MW</t>
        </is>
      </c>
      <c r="D30" s="22" t="n">
        <v>115000</v>
      </c>
      <c r="E30" s="22">
        <f>D30*Assumptions!$C$6</f>
        <v/>
      </c>
      <c r="F30" s="22" t="n">
        <v>115000</v>
      </c>
      <c r="G30" s="22">
        <f>D30-F30</f>
        <v/>
      </c>
    </row>
    <row r="31" outlineLevel="1">
      <c r="B31" s="20" t="inlineStr">
        <is>
          <t xml:space="preserve">    Export cable</t>
        </is>
      </c>
      <c r="C31" s="21" t="inlineStr">
        <is>
          <t>£/MW</t>
        </is>
      </c>
      <c r="D31" s="22" t="n">
        <v>269000</v>
      </c>
      <c r="E31" s="22">
        <f>D31*Assumptions!$C$6</f>
        <v/>
      </c>
      <c r="F31" s="22" t="n">
        <v>269000</v>
      </c>
      <c r="G31" s="22">
        <f>D31-F31</f>
        <v/>
      </c>
    </row>
    <row r="32" outlineLevel="1">
      <c r="B32" s="20" t="inlineStr">
        <is>
          <t xml:space="preserve">    Cable accessories</t>
        </is>
      </c>
      <c r="C32" s="21" t="inlineStr">
        <is>
          <t>£/MW</t>
        </is>
      </c>
      <c r="D32" s="22">
        <f>SUM(D33,D34,D35,D36)</f>
        <v/>
      </c>
      <c r="E32" s="22">
        <f>D32*Assumptions!$C$6</f>
        <v/>
      </c>
      <c r="F32" s="22" t="n">
        <v>80000</v>
      </c>
      <c r="G32" s="22">
        <f>D32-F32</f>
        <v/>
      </c>
    </row>
    <row r="33" outlineLevel="2">
      <c r="B33" s="23" t="inlineStr">
        <is>
          <t xml:space="preserve">        Interface</t>
        </is>
      </c>
      <c r="C33" s="24" t="inlineStr">
        <is>
          <t>£/MW</t>
        </is>
      </c>
      <c r="D33" s="25" t="n">
        <v>30000</v>
      </c>
      <c r="E33" s="25">
        <f>D33*Assumptions!$C$6</f>
        <v/>
      </c>
      <c r="F33" s="25" t="n">
        <v>30000</v>
      </c>
      <c r="G33" s="25">
        <f>D33-F33</f>
        <v/>
      </c>
    </row>
    <row r="34" outlineLevel="2">
      <c r="B34" s="23" t="inlineStr">
        <is>
          <t xml:space="preserve">        Cable protection</t>
        </is>
      </c>
      <c r="C34" s="24" t="inlineStr">
        <is>
          <t>£/MW</t>
        </is>
      </c>
      <c r="D34" s="25" t="n">
        <v>4000</v>
      </c>
      <c r="E34" s="25">
        <f>D34*Assumptions!$C$6</f>
        <v/>
      </c>
      <c r="F34" s="25" t="n">
        <v>4000</v>
      </c>
      <c r="G34" s="25">
        <f>D34-F34</f>
        <v/>
      </c>
    </row>
    <row r="35" outlineLevel="2">
      <c r="B35" s="23" t="inlineStr">
        <is>
          <t xml:space="preserve">        Buoyancy</t>
        </is>
      </c>
      <c r="C35" s="24" t="inlineStr">
        <is>
          <t>£/MW</t>
        </is>
      </c>
      <c r="D35" s="25" t="n">
        <v>2000</v>
      </c>
      <c r="E35" s="25">
        <f>D35*Assumptions!$C$6</f>
        <v/>
      </c>
      <c r="F35" s="25" t="n">
        <v>2000</v>
      </c>
      <c r="G35" s="25">
        <f>D35-F35</f>
        <v/>
      </c>
    </row>
    <row r="36" outlineLevel="2">
      <c r="B36" s="23" t="inlineStr">
        <is>
          <t xml:space="preserve">        Connectors and joints</t>
        </is>
      </c>
      <c r="C36" s="24" t="inlineStr">
        <is>
          <t>£/MW</t>
        </is>
      </c>
      <c r="D36" s="25" t="n">
        <v>43000</v>
      </c>
      <c r="E36" s="25">
        <f>D36*Assumptions!$C$6</f>
        <v/>
      </c>
      <c r="F36" s="25" t="n">
        <v>43000</v>
      </c>
      <c r="G36" s="25">
        <f>D36-F36</f>
        <v/>
      </c>
    </row>
    <row r="37" outlineLevel="1">
      <c r="B37" s="20" t="inlineStr">
        <is>
          <t xml:space="preserve">    Floating substructure</t>
        </is>
      </c>
      <c r="C37" s="21" t="inlineStr">
        <is>
          <t>£/MW</t>
        </is>
      </c>
      <c r="D37" s="22">
        <f>SUM(D38,D39,D40,D41)</f>
        <v/>
      </c>
      <c r="E37" s="22">
        <f>D37*Assumptions!$C$6</f>
        <v/>
      </c>
      <c r="F37" s="22" t="n">
        <v>1313000</v>
      </c>
      <c r="G37" s="22">
        <f>D37-F37</f>
        <v/>
      </c>
    </row>
    <row r="38" outlineLevel="2">
      <c r="B38" s="23" t="inlineStr">
        <is>
          <t xml:space="preserve">        Structure</t>
        </is>
      </c>
      <c r="C38" s="24" t="inlineStr">
        <is>
          <t>£/MW</t>
        </is>
      </c>
      <c r="D38" s="25" t="n">
        <v>1103000</v>
      </c>
      <c r="E38" s="25">
        <f>D38*Assumptions!$C$6</f>
        <v/>
      </c>
      <c r="F38" s="25" t="n">
        <v>1103000</v>
      </c>
      <c r="G38" s="25">
        <f>D38-F38</f>
        <v/>
      </c>
    </row>
    <row r="39" outlineLevel="2">
      <c r="B39" s="23" t="inlineStr">
        <is>
          <t xml:space="preserve">        Secondary steel</t>
        </is>
      </c>
      <c r="C39" s="24" t="inlineStr">
        <is>
          <t>£/MW</t>
        </is>
      </c>
      <c r="D39" s="25" t="n">
        <v>53000</v>
      </c>
      <c r="E39" s="25">
        <f>D39*Assumptions!$C$6</f>
        <v/>
      </c>
      <c r="F39" s="25" t="n">
        <v>53000</v>
      </c>
      <c r="G39" s="25">
        <f>D39-F39</f>
        <v/>
      </c>
    </row>
    <row r="40" outlineLevel="2">
      <c r="B40" s="23" t="inlineStr">
        <is>
          <t xml:space="preserve">        Systems</t>
        </is>
      </c>
      <c r="C40" s="24" t="inlineStr">
        <is>
          <t>£/MW</t>
        </is>
      </c>
      <c r="D40" s="25" t="n">
        <v>92000</v>
      </c>
      <c r="E40" s="25">
        <f>D40*Assumptions!$C$6</f>
        <v/>
      </c>
      <c r="F40" s="25" t="n">
        <v>92000</v>
      </c>
      <c r="G40" s="25">
        <f>D40-F40</f>
        <v/>
      </c>
    </row>
    <row r="41" outlineLevel="2">
      <c r="B41" s="23" t="inlineStr">
        <is>
          <t xml:space="preserve">        Corrosion protection</t>
        </is>
      </c>
      <c r="C41" s="24" t="inlineStr">
        <is>
          <t>£/MW</t>
        </is>
      </c>
      <c r="D41" s="25" t="n">
        <v>65000</v>
      </c>
      <c r="E41" s="25">
        <f>D41*Assumptions!$C$6</f>
        <v/>
      </c>
      <c r="F41" s="25" t="n">
        <v>65000</v>
      </c>
      <c r="G41" s="25">
        <f>D41-F41</f>
        <v/>
      </c>
    </row>
    <row r="42" outlineLevel="1">
      <c r="B42" s="20" t="inlineStr">
        <is>
          <t xml:space="preserve">    Mooring systems</t>
        </is>
      </c>
      <c r="C42" s="21" t="inlineStr">
        <is>
          <t>£/MW</t>
        </is>
      </c>
      <c r="D42" s="22">
        <f>SUM(D43,D44,D45,D46,D47)</f>
        <v/>
      </c>
      <c r="E42" s="22">
        <f>D42*Assumptions!$C$6</f>
        <v/>
      </c>
      <c r="F42" s="22" t="n">
        <v>316000</v>
      </c>
      <c r="G42" s="22">
        <f>D42-F42</f>
        <v/>
      </c>
    </row>
    <row r="43" outlineLevel="2">
      <c r="B43" s="23" t="inlineStr">
        <is>
          <t xml:space="preserve">        Anchor systems</t>
        </is>
      </c>
      <c r="C43" s="24" t="inlineStr">
        <is>
          <t>£/MW</t>
        </is>
      </c>
      <c r="D43" s="25" t="n">
        <v>35000</v>
      </c>
      <c r="E43" s="25">
        <f>D43*Assumptions!$C$6</f>
        <v/>
      </c>
      <c r="F43" s="25" t="n">
        <v>35000</v>
      </c>
      <c r="G43" s="25">
        <f>D43-F43</f>
        <v/>
      </c>
    </row>
    <row r="44" outlineLevel="2">
      <c r="B44" s="23" t="inlineStr">
        <is>
          <t xml:space="preserve">        Mooring lines and chains</t>
        </is>
      </c>
      <c r="C44" s="24" t="inlineStr">
        <is>
          <t>£/MW</t>
        </is>
      </c>
      <c r="D44" s="25" t="n">
        <v>174000</v>
      </c>
      <c r="E44" s="25">
        <f>D44*Assumptions!$C$6</f>
        <v/>
      </c>
      <c r="F44" s="25" t="n">
        <v>174000</v>
      </c>
      <c r="G44" s="25">
        <f>D44-F44</f>
        <v/>
      </c>
    </row>
    <row r="45" outlineLevel="2">
      <c r="B45" s="23" t="inlineStr">
        <is>
          <t xml:space="preserve">        Jewellery</t>
        </is>
      </c>
      <c r="C45" s="24" t="inlineStr">
        <is>
          <t>£/MW</t>
        </is>
      </c>
      <c r="D45" s="25" t="n">
        <v>98000</v>
      </c>
      <c r="E45" s="25">
        <f>D45*Assumptions!$C$6</f>
        <v/>
      </c>
      <c r="F45" s="25" t="n">
        <v>98000</v>
      </c>
      <c r="G45" s="25">
        <f>D45-F45</f>
        <v/>
      </c>
    </row>
    <row r="46" outlineLevel="2">
      <c r="B46" s="23" t="inlineStr">
        <is>
          <t xml:space="preserve">        Topside connection</t>
        </is>
      </c>
      <c r="C46" s="24" t="inlineStr">
        <is>
          <t>£/MW</t>
        </is>
      </c>
      <c r="D46" s="25" t="n">
        <v>6000</v>
      </c>
      <c r="E46" s="25">
        <f>D46*Assumptions!$C$6</f>
        <v/>
      </c>
      <c r="F46" s="25" t="n">
        <v>6000</v>
      </c>
      <c r="G46" s="25">
        <f>D46-F46</f>
        <v/>
      </c>
    </row>
    <row r="47" outlineLevel="2">
      <c r="B47" s="23" t="inlineStr">
        <is>
          <t xml:space="preserve">        Installation aids</t>
        </is>
      </c>
      <c r="C47" s="24" t="inlineStr">
        <is>
          <t>£/MW</t>
        </is>
      </c>
      <c r="D47" s="25" t="n">
        <v>3000</v>
      </c>
      <c r="E47" s="25">
        <f>D47*Assumptions!$C$6</f>
        <v/>
      </c>
      <c r="F47" s="25" t="n">
        <v>3000</v>
      </c>
      <c r="G47" s="25">
        <f>D47-F47</f>
        <v/>
      </c>
    </row>
    <row r="48" outlineLevel="1">
      <c r="B48" s="20" t="inlineStr">
        <is>
          <t xml:space="preserve">    Offshore substation</t>
        </is>
      </c>
      <c r="C48" s="21" t="inlineStr">
        <is>
          <t>£/MW</t>
        </is>
      </c>
      <c r="D48" s="22">
        <f>SUM(D49,D50,D51,D52)</f>
        <v/>
      </c>
      <c r="E48" s="22">
        <f>D48*Assumptions!$C$6</f>
        <v/>
      </c>
      <c r="F48" s="22" t="n">
        <v>282000</v>
      </c>
      <c r="G48" s="22">
        <f>D48-F48</f>
        <v/>
      </c>
    </row>
    <row r="49" outlineLevel="2">
      <c r="B49" s="23" t="inlineStr">
        <is>
          <t xml:space="preserve">        HVAC electrical system</t>
        </is>
      </c>
      <c r="C49" s="24" t="inlineStr">
        <is>
          <t>£/MW</t>
        </is>
      </c>
      <c r="D49" s="25" t="n">
        <v>80000</v>
      </c>
      <c r="E49" s="25">
        <f>D49*Assumptions!$C$6</f>
        <v/>
      </c>
      <c r="F49" s="25" t="n">
        <v>80000</v>
      </c>
      <c r="G49" s="25">
        <f>D49-F49</f>
        <v/>
      </c>
    </row>
    <row r="50" outlineLevel="2">
      <c r="B50" s="23" t="inlineStr">
        <is>
          <t xml:space="preserve">        Auxiliary systems</t>
        </is>
      </c>
      <c r="C50" s="24" t="inlineStr">
        <is>
          <t>£/MW</t>
        </is>
      </c>
      <c r="D50" s="25" t="n">
        <v>13000</v>
      </c>
      <c r="E50" s="25">
        <f>D50*Assumptions!$C$6</f>
        <v/>
      </c>
      <c r="F50" s="25" t="n">
        <v>13000</v>
      </c>
      <c r="G50" s="25">
        <f>D50-F50</f>
        <v/>
      </c>
    </row>
    <row r="51" outlineLevel="2">
      <c r="B51" s="23" t="inlineStr">
        <is>
          <t xml:space="preserve">        Topside structure</t>
        </is>
      </c>
      <c r="C51" s="24" t="inlineStr">
        <is>
          <t>£/MW</t>
        </is>
      </c>
      <c r="D51" s="25" t="n">
        <v>123000</v>
      </c>
      <c r="E51" s="25">
        <f>D51*Assumptions!$C$6</f>
        <v/>
      </c>
      <c r="F51" s="25" t="n">
        <v>123000</v>
      </c>
      <c r="G51" s="25">
        <f>D51-F51</f>
        <v/>
      </c>
    </row>
    <row r="52" outlineLevel="2">
      <c r="B52" s="23" t="inlineStr">
        <is>
          <t xml:space="preserve">        Foundation</t>
        </is>
      </c>
      <c r="C52" s="24" t="inlineStr">
        <is>
          <t>£/MW</t>
        </is>
      </c>
      <c r="D52" s="25" t="n">
        <v>65000</v>
      </c>
      <c r="E52" s="25">
        <f>D52*Assumptions!$C$6</f>
        <v/>
      </c>
      <c r="F52" s="25" t="n">
        <v>65000</v>
      </c>
      <c r="G52" s="25">
        <f>D52-F52</f>
        <v/>
      </c>
    </row>
    <row r="53" outlineLevel="1">
      <c r="B53" s="20" t="inlineStr">
        <is>
          <t xml:space="preserve">    Onshore substation</t>
        </is>
      </c>
      <c r="C53" s="21" t="inlineStr">
        <is>
          <t>£/MW</t>
        </is>
      </c>
      <c r="D53" s="22">
        <f>SUM(D54,D55)</f>
        <v/>
      </c>
      <c r="E53" s="22">
        <f>D53*Assumptions!$C$6</f>
        <v/>
      </c>
      <c r="F53" s="22" t="n">
        <v>44000</v>
      </c>
      <c r="G53" s="22">
        <f>D53-F53</f>
        <v/>
      </c>
    </row>
    <row r="54" outlineLevel="2">
      <c r="B54" s="23" t="inlineStr">
        <is>
          <t xml:space="preserve">        Electrical system</t>
        </is>
      </c>
      <c r="C54" s="24" t="inlineStr">
        <is>
          <t>£/MW</t>
        </is>
      </c>
      <c r="D54" s="25" t="n">
        <v>31000</v>
      </c>
      <c r="E54" s="25">
        <f>D54*Assumptions!$C$6</f>
        <v/>
      </c>
      <c r="F54" s="25" t="n">
        <v>31000</v>
      </c>
      <c r="G54" s="25">
        <f>D54-F54</f>
        <v/>
      </c>
    </row>
    <row r="55" outlineLevel="2">
      <c r="B55" s="23" t="inlineStr">
        <is>
          <t xml:space="preserve">        Buildings, access and security</t>
        </is>
      </c>
      <c r="C55" s="24" t="inlineStr">
        <is>
          <t>£/MW</t>
        </is>
      </c>
      <c r="D55" s="25" t="n">
        <v>13000</v>
      </c>
      <c r="E55" s="25">
        <f>D55*Assumptions!$C$6</f>
        <v/>
      </c>
      <c r="F55" s="25" t="n">
        <v>13000</v>
      </c>
      <c r="G55" s="25">
        <f>D55-F55</f>
        <v/>
      </c>
    </row>
    <row r="56">
      <c r="B56" s="17" t="inlineStr">
        <is>
          <t>Installation and commissioning</t>
        </is>
      </c>
      <c r="C56" s="18" t="inlineStr">
        <is>
          <t>£/MW</t>
        </is>
      </c>
      <c r="D56" s="19">
        <f>SUM(D57,D58,D59,D64,D65,D66,D67,D68,D69,D74)</f>
        <v/>
      </c>
      <c r="E56" s="19">
        <f>D56*Assumptions!$C$6</f>
        <v/>
      </c>
      <c r="F56" s="19" t="n">
        <v>1376000</v>
      </c>
      <c r="G56" s="19">
        <f>D56-F56</f>
        <v/>
      </c>
    </row>
    <row r="57" outlineLevel="1">
      <c r="B57" s="20" t="inlineStr">
        <is>
          <t xml:space="preserve">    Inbound transport</t>
        </is>
      </c>
      <c r="C57" s="21" t="inlineStr">
        <is>
          <t>£/MW</t>
        </is>
      </c>
      <c r="D57" s="22" t="n">
        <v>154000</v>
      </c>
      <c r="E57" s="22">
        <f>D57*Assumptions!$C$6</f>
        <v/>
      </c>
      <c r="F57" s="22" t="n">
        <v>154000</v>
      </c>
      <c r="G57" s="22">
        <f>D57-F57</f>
        <v/>
      </c>
    </row>
    <row r="58" outlineLevel="1">
      <c r="B58" s="20" t="inlineStr">
        <is>
          <t xml:space="preserve">    Mooring and anchoring pre-installation</t>
        </is>
      </c>
      <c r="C58" s="21" t="inlineStr">
        <is>
          <t>£/MW</t>
        </is>
      </c>
      <c r="D58" s="22" t="n">
        <v>153000</v>
      </c>
      <c r="E58" s="22">
        <f>D58*Assumptions!$C$6</f>
        <v/>
      </c>
      <c r="F58" s="22" t="n">
        <v>153000</v>
      </c>
      <c r="G58" s="22">
        <f>D58-F58</f>
        <v/>
      </c>
    </row>
    <row r="59" outlineLevel="1">
      <c r="B59" s="20" t="inlineStr">
        <is>
          <t xml:space="preserve">    Floating substructure - turbine assembly</t>
        </is>
      </c>
      <c r="C59" s="21" t="inlineStr">
        <is>
          <t>£/MW</t>
        </is>
      </c>
      <c r="D59" s="22">
        <f>SUM(D60,D61,D62,D63)</f>
        <v/>
      </c>
      <c r="E59" s="22">
        <f>D59*Assumptions!$C$6</f>
        <v/>
      </c>
      <c r="F59" s="22" t="n">
        <v>72000</v>
      </c>
      <c r="G59" s="22">
        <f>D59-F59</f>
        <v/>
      </c>
    </row>
    <row r="60" outlineLevel="2">
      <c r="B60" s="23" t="inlineStr">
        <is>
          <t xml:space="preserve">        Crane and lifting equipment</t>
        </is>
      </c>
      <c r="C60" s="24" t="inlineStr">
        <is>
          <t>£/MW</t>
        </is>
      </c>
      <c r="D60" s="25" t="n">
        <v>34000</v>
      </c>
      <c r="E60" s="25">
        <f>D60*Assumptions!$C$6</f>
        <v/>
      </c>
      <c r="F60" s="25" t="n">
        <v>34000</v>
      </c>
      <c r="G60" s="25">
        <f>D60-F60</f>
        <v/>
      </c>
    </row>
    <row r="61" outlineLevel="2">
      <c r="B61" s="23" t="inlineStr">
        <is>
          <t xml:space="preserve">        Technician services</t>
        </is>
      </c>
      <c r="C61" s="24" t="inlineStr">
        <is>
          <t>£/MW</t>
        </is>
      </c>
      <c r="D61" s="25" t="n">
        <v>11000</v>
      </c>
      <c r="E61" s="25">
        <f>D61*Assumptions!$C$6</f>
        <v/>
      </c>
      <c r="F61" s="25" t="n">
        <v>11000</v>
      </c>
      <c r="G61" s="25">
        <f>D61-F61</f>
        <v/>
      </c>
    </row>
    <row r="62" outlineLevel="2">
      <c r="B62" s="23" t="inlineStr">
        <is>
          <t xml:space="preserve">        Marshalling port</t>
        </is>
      </c>
      <c r="C62" s="24" t="inlineStr">
        <is>
          <t>£/MW</t>
        </is>
      </c>
      <c r="D62" s="25" t="n">
        <v>22000</v>
      </c>
      <c r="E62" s="25">
        <f>D62*Assumptions!$C$6</f>
        <v/>
      </c>
      <c r="F62" s="25" t="n">
        <v>22000</v>
      </c>
      <c r="G62" s="25">
        <f>D62-F62</f>
        <v/>
      </c>
    </row>
    <row r="63" outlineLevel="2">
      <c r="B63" s="23" t="inlineStr">
        <is>
          <t xml:space="preserve">        Other</t>
        </is>
      </c>
      <c r="C63" s="24" t="inlineStr">
        <is>
          <t>£/MW</t>
        </is>
      </c>
      <c r="D63" s="25" t="n">
        <v>5000</v>
      </c>
      <c r="E63" s="25">
        <f>D63*Assumptions!$C$6</f>
        <v/>
      </c>
      <c r="F63" s="25" t="n">
        <v>5000</v>
      </c>
      <c r="G63" s="25">
        <f>D63-F63</f>
        <v/>
      </c>
    </row>
    <row r="64" outlineLevel="1">
      <c r="B64" s="20" t="inlineStr">
        <is>
          <t xml:space="preserve">    Floating substructure - turbine installation</t>
        </is>
      </c>
      <c r="C64" s="21" t="inlineStr">
        <is>
          <t>£/MW</t>
        </is>
      </c>
      <c r="D64" s="22" t="n">
        <v>114000</v>
      </c>
      <c r="E64" s="22">
        <f>D64*Assumptions!$C$6</f>
        <v/>
      </c>
      <c r="F64" s="22" t="n">
        <v>114000</v>
      </c>
      <c r="G64" s="22">
        <f>D64-F64</f>
        <v/>
      </c>
    </row>
    <row r="65" outlineLevel="1">
      <c r="B65" s="20" t="inlineStr">
        <is>
          <t xml:space="preserve">    Offshore cable installation</t>
        </is>
      </c>
      <c r="C65" s="21" t="inlineStr">
        <is>
          <t>£/MW</t>
        </is>
      </c>
      <c r="D65" s="22" t="n">
        <v>171000</v>
      </c>
      <c r="E65" s="22">
        <f>D65*Assumptions!$C$6</f>
        <v/>
      </c>
      <c r="F65" s="22" t="n">
        <v>171000</v>
      </c>
      <c r="G65" s="22">
        <f>D65-F65</f>
        <v/>
      </c>
    </row>
    <row r="66" outlineLevel="1">
      <c r="B66" s="20" t="inlineStr">
        <is>
          <t xml:space="preserve">    Onshore export cable installation</t>
        </is>
      </c>
      <c r="C66" s="21" t="inlineStr">
        <is>
          <t>£/MW</t>
        </is>
      </c>
      <c r="D66" s="22" t="n">
        <v>8000</v>
      </c>
      <c r="E66" s="22">
        <f>D66*Assumptions!$C$6</f>
        <v/>
      </c>
      <c r="F66" s="22" t="n">
        <v>8000</v>
      </c>
      <c r="G66" s="22">
        <f>D66-F66</f>
        <v/>
      </c>
    </row>
    <row r="67" outlineLevel="1">
      <c r="B67" s="20" t="inlineStr">
        <is>
          <t xml:space="preserve">    Offshore substation installation</t>
        </is>
      </c>
      <c r="C67" s="21" t="inlineStr">
        <is>
          <t>£/MW</t>
        </is>
      </c>
      <c r="D67" s="22" t="n">
        <v>52000</v>
      </c>
      <c r="E67" s="22">
        <f>D67*Assumptions!$C$6</f>
        <v/>
      </c>
      <c r="F67" s="22" t="n">
        <v>52000</v>
      </c>
      <c r="G67" s="22">
        <f>D67-F67</f>
        <v/>
      </c>
    </row>
    <row r="68" outlineLevel="1">
      <c r="B68" s="20" t="inlineStr">
        <is>
          <t xml:space="preserve">    Onshore substation construction</t>
        </is>
      </c>
      <c r="C68" s="21" t="inlineStr">
        <is>
          <t>£/MW</t>
        </is>
      </c>
      <c r="D68" s="22" t="n">
        <v>29000</v>
      </c>
      <c r="E68" s="22">
        <f>D68*Assumptions!$C$6</f>
        <v/>
      </c>
      <c r="F68" s="22" t="n">
        <v>29000</v>
      </c>
      <c r="G68" s="22">
        <f>D68-F68</f>
        <v/>
      </c>
    </row>
    <row r="69" outlineLevel="1">
      <c r="B69" s="20" t="inlineStr">
        <is>
          <t xml:space="preserve">    Offshore logistics</t>
        </is>
      </c>
      <c r="C69" s="21" t="inlineStr">
        <is>
          <t>£/MW</t>
        </is>
      </c>
      <c r="D69" s="22">
        <f>SUM(D70,D71,D72,D73)</f>
        <v/>
      </c>
      <c r="E69" s="22">
        <f>D69*Assumptions!$C$6</f>
        <v/>
      </c>
      <c r="F69" s="22" t="n">
        <v>13000</v>
      </c>
      <c r="G69" s="22">
        <f>D69-F69</f>
        <v/>
      </c>
    </row>
    <row r="70" outlineLevel="2">
      <c r="B70" s="23" t="inlineStr">
        <is>
          <t xml:space="preserve">        Sea-based support</t>
        </is>
      </c>
      <c r="C70" s="24" t="inlineStr">
        <is>
          <t>£/MW</t>
        </is>
      </c>
      <c r="D70" s="25" t="n">
        <v>6000</v>
      </c>
      <c r="E70" s="25">
        <f>D70*Assumptions!$C$6</f>
        <v/>
      </c>
      <c r="F70" s="25" t="n">
        <v>6000</v>
      </c>
      <c r="G70" s="25">
        <f>D70-F70</f>
        <v/>
      </c>
    </row>
    <row r="71" outlineLevel="2">
      <c r="B71" s="23" t="inlineStr">
        <is>
          <t xml:space="preserve">        Marine coordination</t>
        </is>
      </c>
      <c r="C71" s="24" t="inlineStr">
        <is>
          <t>£/MW</t>
        </is>
      </c>
      <c r="D71" s="25" t="n">
        <v>2000</v>
      </c>
      <c r="E71" s="25">
        <f>D71*Assumptions!$C$6</f>
        <v/>
      </c>
      <c r="F71" s="25" t="n">
        <v>2000</v>
      </c>
      <c r="G71" s="25">
        <f>D71-F71</f>
        <v/>
      </c>
    </row>
    <row r="72" outlineLevel="2">
      <c r="B72" s="23" t="inlineStr">
        <is>
          <t xml:space="preserve">        Weather forecasting and metocean data</t>
        </is>
      </c>
      <c r="C72" s="24" t="inlineStr">
        <is>
          <t>£/MW</t>
        </is>
      </c>
      <c r="D72" s="25" t="n">
        <v>1000</v>
      </c>
      <c r="E72" s="25">
        <f>D72*Assumptions!$C$6</f>
        <v/>
      </c>
      <c r="F72" s="25" t="n">
        <v>1000</v>
      </c>
      <c r="G72" s="25">
        <f>D72-F72</f>
        <v/>
      </c>
    </row>
    <row r="73" outlineLevel="2">
      <c r="B73" s="23" t="inlineStr">
        <is>
          <t xml:space="preserve">        Marine safety and rescue</t>
        </is>
      </c>
      <c r="C73" s="24" t="inlineStr">
        <is>
          <t>£/MW</t>
        </is>
      </c>
      <c r="D73" s="25" t="n">
        <v>4000</v>
      </c>
      <c r="E73" s="25">
        <f>D73*Assumptions!$C$6</f>
        <v/>
      </c>
      <c r="F73" s="25" t="n">
        <v>4000</v>
      </c>
      <c r="G73" s="25">
        <f>D73-F73</f>
        <v/>
      </c>
    </row>
    <row r="74" outlineLevel="1">
      <c r="B74" s="20" t="inlineStr">
        <is>
          <t xml:space="preserve">    Contingency and insurance</t>
        </is>
      </c>
      <c r="C74" s="21" t="inlineStr">
        <is>
          <t>£/MW</t>
        </is>
      </c>
      <c r="D74" s="22" t="n">
        <v>610000</v>
      </c>
      <c r="E74" s="22">
        <f>D74*Assumptions!$C$6</f>
        <v/>
      </c>
      <c r="F74" s="22" t="n">
        <v>610000</v>
      </c>
      <c r="G74" s="22">
        <f>D74-F74</f>
        <v/>
      </c>
    </row>
    <row r="75">
      <c r="B75" s="26" t="inlineStr">
        <is>
          <t>TOTAL CAPEX (build cost)</t>
        </is>
      </c>
      <c r="C75" s="26" t="n"/>
      <c r="D75" s="27">
        <f>SUM(D7,D25,D29,D56)</f>
        <v/>
      </c>
      <c r="E75" s="27">
        <f>D75*Assumptions!$C$6</f>
        <v/>
      </c>
      <c r="F75" s="26" t="n"/>
      <c r="G75" s="26" t="n"/>
    </row>
    <row r="77">
      <c r="B77" s="15" t="inlineStr">
        <is>
          <t>OPEX  —  Operating expenditure (annual)</t>
        </is>
      </c>
      <c r="C77" s="16" t="inlineStr">
        <is>
          <t>£/MW/yr</t>
        </is>
      </c>
    </row>
    <row r="78">
      <c r="B78" s="17" t="inlineStr">
        <is>
          <t>Operation, maintenance and service</t>
        </is>
      </c>
      <c r="C78" s="18" t="inlineStr">
        <is>
          <t>£/MW/yr</t>
        </is>
      </c>
      <c r="D78" s="19">
        <f>SUM(D79,D80,D88)</f>
        <v/>
      </c>
      <c r="E78" s="19">
        <f>D78*Assumptions!$C$6</f>
        <v/>
      </c>
      <c r="F78" s="19" t="n">
        <v>98000</v>
      </c>
      <c r="G78" s="19">
        <f>D78-F78</f>
        <v/>
      </c>
    </row>
    <row r="79" outlineLevel="1">
      <c r="B79" s="20" t="inlineStr">
        <is>
          <t xml:space="preserve">    Operations, maintenance and service port</t>
        </is>
      </c>
      <c r="C79" s="21" t="inlineStr">
        <is>
          <t>£/MW/yr</t>
        </is>
      </c>
      <c r="D79" s="22" t="n">
        <v>0</v>
      </c>
      <c r="E79" s="22">
        <f>D79*Assumptions!$C$6</f>
        <v/>
      </c>
      <c r="F79" s="22" t="n">
        <v>0</v>
      </c>
      <c r="G79" s="22">
        <f>D79-F79</f>
        <v/>
      </c>
    </row>
    <row r="80" outlineLevel="1">
      <c r="B80" s="20" t="inlineStr">
        <is>
          <t xml:space="preserve">    Operations</t>
        </is>
      </c>
      <c r="C80" s="21" t="inlineStr">
        <is>
          <t>£/MW/yr</t>
        </is>
      </c>
      <c r="D80" s="22">
        <f>SUM(D81,D82,D83,D84,D85,D86,D87)</f>
        <v/>
      </c>
      <c r="E80" s="22">
        <f>D80*Assumptions!$C$6</f>
        <v/>
      </c>
      <c r="F80" s="22" t="n">
        <v>34000</v>
      </c>
      <c r="G80" s="22">
        <f>D80-F80</f>
        <v/>
      </c>
    </row>
    <row r="81" outlineLevel="2">
      <c r="B81" s="23" t="inlineStr">
        <is>
          <t xml:space="preserve">        Operations control centre</t>
        </is>
      </c>
      <c r="C81" s="24" t="inlineStr">
        <is>
          <t>£/MW/yr</t>
        </is>
      </c>
      <c r="D81" s="25" t="n">
        <v>1000</v>
      </c>
      <c r="E81" s="25">
        <f>D81*Assumptions!$C$6</f>
        <v/>
      </c>
      <c r="F81" s="25" t="n">
        <v>1000</v>
      </c>
      <c r="G81" s="25">
        <f>D81-F81</f>
        <v/>
      </c>
    </row>
    <row r="82" outlineLevel="2">
      <c r="B82" s="23" t="inlineStr">
        <is>
          <t xml:space="preserve">        Training</t>
        </is>
      </c>
      <c r="C82" s="24" t="inlineStr">
        <is>
          <t>£/MW/yr</t>
        </is>
      </c>
      <c r="D82" s="25" t="n">
        <v>3000</v>
      </c>
      <c r="E82" s="25">
        <f>D82*Assumptions!$C$6</f>
        <v/>
      </c>
      <c r="F82" s="25" t="n">
        <v>3000</v>
      </c>
      <c r="G82" s="25">
        <f>D82-F82</f>
        <v/>
      </c>
    </row>
    <row r="83" outlineLevel="2">
      <c r="B83" s="23" t="inlineStr">
        <is>
          <t xml:space="preserve">        Onshore logistics</t>
        </is>
      </c>
      <c r="C83" s="24" t="inlineStr">
        <is>
          <t>£/MW/yr</t>
        </is>
      </c>
      <c r="D83" s="25" t="n">
        <v>1000</v>
      </c>
      <c r="E83" s="25">
        <f>D83*Assumptions!$C$6</f>
        <v/>
      </c>
      <c r="F83" s="25" t="n">
        <v>1000</v>
      </c>
      <c r="G83" s="25">
        <f>D83-F83</f>
        <v/>
      </c>
    </row>
    <row r="84" outlineLevel="2">
      <c r="B84" s="23" t="inlineStr">
        <is>
          <t xml:space="preserve">        Technical resource (onshore and off)</t>
        </is>
      </c>
      <c r="C84" s="24" t="inlineStr">
        <is>
          <t>£/MW/yr</t>
        </is>
      </c>
      <c r="D84" s="25" t="n">
        <v>7000</v>
      </c>
      <c r="E84" s="25">
        <f>D84*Assumptions!$C$6</f>
        <v/>
      </c>
      <c r="F84" s="25" t="n">
        <v>7000</v>
      </c>
      <c r="G84" s="25">
        <f>D84-F84</f>
        <v/>
      </c>
    </row>
    <row r="85" outlineLevel="2">
      <c r="B85" s="23" t="inlineStr">
        <is>
          <t xml:space="preserve">        Admin and support staff (onshore)</t>
        </is>
      </c>
      <c r="C85" s="24" t="inlineStr">
        <is>
          <t>£/MW/yr</t>
        </is>
      </c>
      <c r="D85" s="25" t="n">
        <v>8000</v>
      </c>
      <c r="E85" s="25">
        <f>D85*Assumptions!$C$6</f>
        <v/>
      </c>
      <c r="F85" s="25" t="n">
        <v>8000</v>
      </c>
      <c r="G85" s="25">
        <f>D85-F85</f>
        <v/>
      </c>
    </row>
    <row r="86" outlineLevel="2">
      <c r="B86" s="23" t="inlineStr">
        <is>
          <t xml:space="preserve">        Insurance</t>
        </is>
      </c>
      <c r="C86" s="24" t="inlineStr">
        <is>
          <t>£/MW/yr</t>
        </is>
      </c>
      <c r="D86" s="25" t="n">
        <v>14000</v>
      </c>
      <c r="E86" s="25">
        <f>D86*Assumptions!$C$6</f>
        <v/>
      </c>
      <c r="F86" s="25" t="n">
        <v>14000</v>
      </c>
      <c r="G86" s="25">
        <f>D86-F86</f>
        <v/>
      </c>
    </row>
    <row r="87" outlineLevel="2">
      <c r="B87" s="23" t="inlineStr">
        <is>
          <t xml:space="preserve">        Offshore logistics</t>
        </is>
      </c>
      <c r="C87" s="24" t="inlineStr">
        <is>
          <t>£/MW/yr</t>
        </is>
      </c>
      <c r="D87" s="25" t="n">
        <v>7000</v>
      </c>
      <c r="E87" s="25">
        <f>D87*Assumptions!$C$6</f>
        <v/>
      </c>
      <c r="F87" s="25" t="n">
        <v>7000</v>
      </c>
      <c r="G87" s="25">
        <f>D87-F87</f>
        <v/>
      </c>
    </row>
    <row r="88" outlineLevel="1">
      <c r="B88" s="20" t="inlineStr">
        <is>
          <t xml:space="preserve">    Maintenance and service</t>
        </is>
      </c>
      <c r="C88" s="21" t="inlineStr">
        <is>
          <t>£/MW/yr</t>
        </is>
      </c>
      <c r="D88" s="22">
        <f>SUM(D89,D90,D91)</f>
        <v/>
      </c>
      <c r="E88" s="22">
        <f>D88*Assumptions!$C$6</f>
        <v/>
      </c>
      <c r="F88" s="22" t="n">
        <v>57000</v>
      </c>
      <c r="G88" s="22">
        <f>D88-F88</f>
        <v/>
      </c>
    </row>
    <row r="89" outlineLevel="2">
      <c r="B89" s="23" t="inlineStr">
        <is>
          <t xml:space="preserve">        Turbine maintenance and service</t>
        </is>
      </c>
      <c r="C89" s="24" t="inlineStr">
        <is>
          <t>£/MW/yr</t>
        </is>
      </c>
      <c r="D89" s="25" t="n">
        <v>41000</v>
      </c>
      <c r="E89" s="25">
        <f>D89*Assumptions!$C$6</f>
        <v/>
      </c>
      <c r="F89" s="25" t="n">
        <v>41000</v>
      </c>
      <c r="G89" s="25">
        <f>D89-F89</f>
        <v/>
      </c>
    </row>
    <row r="90" outlineLevel="2">
      <c r="B90" s="23" t="inlineStr">
        <is>
          <t xml:space="preserve">        Balance of plant maintenance and service</t>
        </is>
      </c>
      <c r="C90" s="24" t="inlineStr">
        <is>
          <t>£/MW/yr</t>
        </is>
      </c>
      <c r="D90" s="25" t="n">
        <v>15000</v>
      </c>
      <c r="E90" s="25">
        <f>D90*Assumptions!$C$6</f>
        <v/>
      </c>
      <c r="F90" s="25" t="n">
        <v>15000</v>
      </c>
      <c r="G90" s="25">
        <f>D90-F90</f>
        <v/>
      </c>
    </row>
    <row r="91" outlineLevel="2">
      <c r="B91" s="23" t="inlineStr">
        <is>
          <t xml:space="preserve">        Statutory inspections</t>
        </is>
      </c>
      <c r="C91" s="24" t="inlineStr">
        <is>
          <t>£/MW/yr</t>
        </is>
      </c>
      <c r="D91" s="25" t="n">
        <v>1000</v>
      </c>
      <c r="E91" s="25">
        <f>D91*Assumptions!$C$6</f>
        <v/>
      </c>
      <c r="F91" s="25" t="n">
        <v>1000</v>
      </c>
      <c r="G91" s="25">
        <f>D91-F91</f>
        <v/>
      </c>
    </row>
    <row r="92">
      <c r="B92" s="26" t="inlineStr">
        <is>
          <t>TOTAL OPEX (per year)</t>
        </is>
      </c>
      <c r="C92" s="26" t="n"/>
      <c r="D92" s="27">
        <f>SUM(D78)</f>
        <v/>
      </c>
      <c r="E92" s="27">
        <f>D92*Assumptions!$C$6</f>
        <v/>
      </c>
      <c r="F92" s="26" t="n"/>
      <c r="G92" s="26" t="n"/>
    </row>
    <row r="94">
      <c r="B94" s="15" t="inlineStr">
        <is>
          <t>DECEX  —  Decommissioning (end of life)</t>
        </is>
      </c>
      <c r="C94" s="16" t="inlineStr">
        <is>
          <t>£/MW</t>
        </is>
      </c>
    </row>
    <row r="95">
      <c r="B95" s="17" t="inlineStr">
        <is>
          <t>Decommissioning</t>
        </is>
      </c>
      <c r="C95" s="18" t="inlineStr">
        <is>
          <t>£/MW</t>
        </is>
      </c>
      <c r="D95" s="19">
        <f>SUM(D96,D97,D98,D99)</f>
        <v/>
      </c>
      <c r="E95" s="19">
        <f>D95*Assumptions!$C$6</f>
        <v/>
      </c>
      <c r="F95" s="19" t="n">
        <v>450000</v>
      </c>
      <c r="G95" s="19">
        <f>D95-F95</f>
        <v/>
      </c>
    </row>
    <row r="96" outlineLevel="1">
      <c r="B96" s="20" t="inlineStr">
        <is>
          <t xml:space="preserve">    Floating hull - turbine decommissioning</t>
        </is>
      </c>
      <c r="C96" s="21" t="inlineStr">
        <is>
          <t>£/MW</t>
        </is>
      </c>
      <c r="D96" s="22" t="n">
        <v>148000</v>
      </c>
      <c r="E96" s="22">
        <f>D96*Assumptions!$C$6</f>
        <v/>
      </c>
      <c r="F96" s="22" t="n">
        <v>148000</v>
      </c>
      <c r="G96" s="22">
        <f>D96-F96</f>
        <v/>
      </c>
    </row>
    <row r="97" outlineLevel="1">
      <c r="B97" s="20" t="inlineStr">
        <is>
          <t xml:space="preserve">    Mooring and anchoring decommissioning</t>
        </is>
      </c>
      <c r="C97" s="21" t="inlineStr">
        <is>
          <t>£/MW</t>
        </is>
      </c>
      <c r="D97" s="22" t="n">
        <v>122000</v>
      </c>
      <c r="E97" s="22">
        <f>D97*Assumptions!$C$6</f>
        <v/>
      </c>
      <c r="F97" s="22" t="n">
        <v>122000</v>
      </c>
      <c r="G97" s="22">
        <f>D97-F97</f>
        <v/>
      </c>
    </row>
    <row r="98" outlineLevel="1">
      <c r="B98" s="20" t="inlineStr">
        <is>
          <t xml:space="preserve">    Cable decommissioning</t>
        </is>
      </c>
      <c r="C98" s="21" t="inlineStr">
        <is>
          <t>£/MW</t>
        </is>
      </c>
      <c r="D98" s="22" t="n">
        <v>137000</v>
      </c>
      <c r="E98" s="22">
        <f>D98*Assumptions!$C$6</f>
        <v/>
      </c>
      <c r="F98" s="22" t="n">
        <v>137000</v>
      </c>
      <c r="G98" s="22">
        <f>D98-F98</f>
        <v/>
      </c>
    </row>
    <row r="99" outlineLevel="1">
      <c r="B99" s="20" t="inlineStr">
        <is>
          <t xml:space="preserve">    Substation decommissioning</t>
        </is>
      </c>
      <c r="C99" s="21" t="inlineStr">
        <is>
          <t>£/MW</t>
        </is>
      </c>
      <c r="D99" s="22" t="n">
        <v>42000</v>
      </c>
      <c r="E99" s="22">
        <f>D99*Assumptions!$C$6</f>
        <v/>
      </c>
      <c r="F99" s="22" t="n">
        <v>42000</v>
      </c>
      <c r="G99" s="22">
        <f>D99-F99</f>
        <v/>
      </c>
    </row>
    <row r="100">
      <c r="B100" s="26" t="inlineStr">
        <is>
          <t>TOTAL DECEX (decommissioning)</t>
        </is>
      </c>
      <c r="C100" s="26" t="n"/>
      <c r="D100" s="27">
        <f>SUM(D95)</f>
        <v/>
      </c>
      <c r="E100" s="27">
        <f>D100*Assumptions!$C$6</f>
        <v/>
      </c>
      <c r="F100" s="26" t="n"/>
      <c r="G100" s="26" t="n"/>
    </row>
    <row r="102">
      <c r="B102" s="28" t="inlineStr">
        <is>
          <t>LIFETIME COST  (CAPEX + OPEX×life + DECEX)</t>
        </is>
      </c>
      <c r="C102" s="29" t="inlineStr">
        <is>
          <t>£/MW</t>
        </is>
      </c>
      <c r="D102" s="30">
        <f>D75+D92*Assumptions!$C$18+D100</f>
        <v/>
      </c>
      <c r="E102" s="30">
        <f>D102*Assumptions!$C$6</f>
        <v/>
      </c>
      <c r="F102" s="28" t="n"/>
      <c r="G102" s="28" t="n"/>
    </row>
    <row r="104">
      <c r="B104" s="31" t="inlineStr">
        <is>
          <t>Notes:  'Rate' leaf cells are inputs; every assembly/category is =SUM(children), so editing a line item rolls up automatically.  'Wind farm total' = Rate × farm rating (£/yr for OPEX rows).  'Stated (source)' is the published rounded figure; 'Variance' is the small rounding gap between the computed roll-up and the published total.</t>
        </is>
      </c>
    </row>
    <row r="105"/>
    <row r="106"/>
  </sheetData>
  <mergeCells count="1">
    <mergeCell ref="B104:G10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8" customWidth="1" min="3" max="3"/>
    <col width="18" customWidth="1" min="4" max="4"/>
    <col width="12" customWidth="1" min="5" max="5"/>
  </cols>
  <sheetData>
    <row r="2">
      <c r="B2" s="12" t="inlineStr">
        <is>
          <t>Lifetime Cost Summary</t>
        </is>
      </c>
    </row>
    <row r="3">
      <c r="B3" s="2" t="inlineStr">
        <is>
          <t>Contribution of each major cost element to whole-life cost of the wind farm.</t>
        </is>
      </c>
    </row>
    <row r="5">
      <c r="B5" s="32" t="inlineStr">
        <is>
          <t>Cost element</t>
        </is>
      </c>
      <c r="C5" s="33" t="inlineStr">
        <is>
          <t>Lifetime cost (£)</t>
        </is>
      </c>
      <c r="D5" s="33" t="inlineStr">
        <is>
          <t>Per MW (£/MW)</t>
        </is>
      </c>
      <c r="E5" s="33" t="inlineStr">
        <is>
          <t>% of total</t>
        </is>
      </c>
    </row>
    <row r="6">
      <c r="B6" s="34" t="inlineStr">
        <is>
          <t>Development and project management</t>
        </is>
      </c>
      <c r="C6" s="35">
        <f>'Cost Breakdown'!E7</f>
        <v/>
      </c>
      <c r="D6" s="35">
        <f>'Cost Breakdown'!D7</f>
        <v/>
      </c>
      <c r="E6" s="36">
        <f>C6/$C$12</f>
        <v/>
      </c>
    </row>
    <row r="7">
      <c r="B7" s="34" t="inlineStr">
        <is>
          <t>Wind turbine</t>
        </is>
      </c>
      <c r="C7" s="35">
        <f>'Cost Breakdown'!E25</f>
        <v/>
      </c>
      <c r="D7" s="35">
        <f>'Cost Breakdown'!D25</f>
        <v/>
      </c>
      <c r="E7" s="36">
        <f>C7/$C$12</f>
        <v/>
      </c>
    </row>
    <row r="8">
      <c r="B8" s="34" t="inlineStr">
        <is>
          <t>Balance of plant</t>
        </is>
      </c>
      <c r="C8" s="35">
        <f>'Cost Breakdown'!E29</f>
        <v/>
      </c>
      <c r="D8" s="35">
        <f>'Cost Breakdown'!D29</f>
        <v/>
      </c>
      <c r="E8" s="36">
        <f>C8/$C$12</f>
        <v/>
      </c>
    </row>
    <row r="9">
      <c r="B9" s="34" t="inlineStr">
        <is>
          <t>Installation and commissioning</t>
        </is>
      </c>
      <c r="C9" s="35">
        <f>'Cost Breakdown'!E56</f>
        <v/>
      </c>
      <c r="D9" s="35">
        <f>'Cost Breakdown'!D56</f>
        <v/>
      </c>
      <c r="E9" s="36">
        <f>C9/$C$12</f>
        <v/>
      </c>
    </row>
    <row r="10">
      <c r="B10" s="34" t="inlineStr">
        <is>
          <t>Operation, maintenance and service</t>
        </is>
      </c>
      <c r="C10" s="35">
        <f>'Cost Breakdown'!E78*Assumptions!$C$18</f>
        <v/>
      </c>
      <c r="D10" s="35">
        <f>'Cost Breakdown'!D78*Assumptions!$C$18</f>
        <v/>
      </c>
      <c r="E10" s="36">
        <f>C10/$C$12</f>
        <v/>
      </c>
    </row>
    <row r="11">
      <c r="B11" s="34" t="inlineStr">
        <is>
          <t>Decommissioning</t>
        </is>
      </c>
      <c r="C11" s="35">
        <f>'Cost Breakdown'!E95</f>
        <v/>
      </c>
      <c r="D11" s="35">
        <f>'Cost Breakdown'!D95</f>
        <v/>
      </c>
      <c r="E11" s="36">
        <f>C11/$C$12</f>
        <v/>
      </c>
    </row>
    <row r="12">
      <c r="B12" s="37" t="inlineStr">
        <is>
          <t>TOTAL LIFETIME COST</t>
        </is>
      </c>
      <c r="C12" s="38">
        <f>SUM(C6:C11)</f>
        <v/>
      </c>
      <c r="D12" s="38">
        <f>SUM(D6:D11)</f>
        <v/>
      </c>
      <c r="E12" s="39">
        <f>SUM(E6:E11)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54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8" customWidth="1" min="3" max="3"/>
    <col width="18" customWidth="1" min="4" max="4"/>
    <col width="18" customWidth="1" min="5" max="5"/>
    <col width="18" customWidth="1" min="6" max="6"/>
    <col width="16" customWidth="1" min="7" max="7"/>
    <col width="16" customWidth="1" min="8" max="8"/>
    <col width="18" customWidth="1" min="9" max="9"/>
    <col width="18" customWidth="1" min="10" max="10"/>
  </cols>
  <sheetData>
    <row r="2">
      <c r="B2" s="12" t="inlineStr">
        <is>
          <t>Levelised Cost of Energy (LCOE)</t>
        </is>
      </c>
    </row>
    <row r="3">
      <c r="B3" s="2" t="inlineStr">
        <is>
          <t>Discounted cash-flow model.  LCOE = Σ(discounted cost) / Σ(discounted energy), discounted to the year of FID.</t>
        </is>
      </c>
    </row>
    <row r="5">
      <c r="B5" s="40" t="inlineStr">
        <is>
          <t>LCOE</t>
        </is>
      </c>
      <c r="C5" s="41">
        <f>J54/K54</f>
        <v/>
      </c>
    </row>
    <row r="6">
      <c r="B6" s="7" t="inlineStr">
        <is>
          <t>£ per MWh, real 2024, discounted to FID</t>
        </is>
      </c>
    </row>
    <row r="8" ht="30" customHeight="1">
      <c r="B8" s="42" t="inlineStr">
        <is>
          <t>Year</t>
        </is>
      </c>
      <c r="C8" s="42" t="inlineStr">
        <is>
          <t>t</t>
        </is>
      </c>
      <c r="D8" s="42" t="inlineStr">
        <is>
          <t>CAPEX (£)</t>
        </is>
      </c>
      <c r="E8" s="42" t="inlineStr">
        <is>
          <t>OPEX (£)</t>
        </is>
      </c>
      <c r="F8" s="42" t="inlineStr">
        <is>
          <t>DECEX (£)</t>
        </is>
      </c>
      <c r="G8" s="42" t="inlineStr">
        <is>
          <t>Total cost (£)</t>
        </is>
      </c>
      <c r="H8" s="42" t="inlineStr">
        <is>
          <t>Energy (MWh)</t>
        </is>
      </c>
      <c r="I8" s="42" t="inlineStr">
        <is>
          <t>Discount factor</t>
        </is>
      </c>
      <c r="J8" s="42" t="inlineStr">
        <is>
          <t>Disc. cost (£)</t>
        </is>
      </c>
      <c r="K8" s="42" t="inlineStr">
        <is>
          <t>Disc. energy (MWh)</t>
        </is>
      </c>
    </row>
    <row r="9">
      <c r="B9" s="43">
        <f>Assumptions!$C$15+0</f>
        <v/>
      </c>
      <c r="C9" s="44" t="n">
        <v>0</v>
      </c>
      <c r="D9" s="45">
        <f>IF(B9&lt;Assumptions!$C$16,'Cost Breakdown'!$E$75/Assumptions!$C$17,0)</f>
        <v/>
      </c>
      <c r="E9" s="45">
        <f>IF(AND(B9&gt;=Assumptions!$C$16,B9&lt;Assumptions!$C$16+Assumptions!$C$18),'Cost Breakdown'!$E$92,0)</f>
        <v/>
      </c>
      <c r="F9" s="45">
        <f>IF(B9=Assumptions!$C$16+Assumptions!$C$18,'Cost Breakdown'!$E$100,0)</f>
        <v/>
      </c>
      <c r="G9" s="45">
        <f>D9+E9+F9</f>
        <v/>
      </c>
      <c r="H9" s="46">
        <f>IF(AND(B9&gt;=Assumptions!$C$16,B9&lt;Assumptions!$C$16+Assumptions!$C$18),Assumptions!$C$26,0)</f>
        <v/>
      </c>
      <c r="I9" s="47">
        <f>1/(1+Assumptions!$C$21)^C9</f>
        <v/>
      </c>
      <c r="J9" s="45">
        <f>G9*I9</f>
        <v/>
      </c>
      <c r="K9" s="46">
        <f>H9*I9</f>
        <v/>
      </c>
    </row>
    <row r="10">
      <c r="B10" s="48">
        <f>Assumptions!$C$15+1</f>
        <v/>
      </c>
      <c r="C10" s="49" t="n">
        <v>1</v>
      </c>
      <c r="D10" s="50">
        <f>IF(B10&lt;Assumptions!$C$16,'Cost Breakdown'!$E$75/Assumptions!$C$17,0)</f>
        <v/>
      </c>
      <c r="E10" s="50">
        <f>IF(AND(B10&gt;=Assumptions!$C$16,B10&lt;Assumptions!$C$16+Assumptions!$C$18),'Cost Breakdown'!$E$92,0)</f>
        <v/>
      </c>
      <c r="F10" s="50">
        <f>IF(B10=Assumptions!$C$16+Assumptions!$C$18,'Cost Breakdown'!$E$100,0)</f>
        <v/>
      </c>
      <c r="G10" s="50">
        <f>D10+E10+F10</f>
        <v/>
      </c>
      <c r="H10" s="51">
        <f>IF(AND(B10&gt;=Assumptions!$C$16,B10&lt;Assumptions!$C$16+Assumptions!$C$18),Assumptions!$C$26,0)</f>
        <v/>
      </c>
      <c r="I10" s="52">
        <f>1/(1+Assumptions!$C$21)^C10</f>
        <v/>
      </c>
      <c r="J10" s="50">
        <f>G10*I10</f>
        <v/>
      </c>
      <c r="K10" s="51">
        <f>H10*I10</f>
        <v/>
      </c>
    </row>
    <row r="11">
      <c r="B11" s="43">
        <f>Assumptions!$C$15+2</f>
        <v/>
      </c>
      <c r="C11" s="44" t="n">
        <v>2</v>
      </c>
      <c r="D11" s="45">
        <f>IF(B11&lt;Assumptions!$C$16,'Cost Breakdown'!$E$75/Assumptions!$C$17,0)</f>
        <v/>
      </c>
      <c r="E11" s="45">
        <f>IF(AND(B11&gt;=Assumptions!$C$16,B11&lt;Assumptions!$C$16+Assumptions!$C$18),'Cost Breakdown'!$E$92,0)</f>
        <v/>
      </c>
      <c r="F11" s="45">
        <f>IF(B11=Assumptions!$C$16+Assumptions!$C$18,'Cost Breakdown'!$E$100,0)</f>
        <v/>
      </c>
      <c r="G11" s="45">
        <f>D11+E11+F11</f>
        <v/>
      </c>
      <c r="H11" s="46">
        <f>IF(AND(B11&gt;=Assumptions!$C$16,B11&lt;Assumptions!$C$16+Assumptions!$C$18),Assumptions!$C$26,0)</f>
        <v/>
      </c>
      <c r="I11" s="47">
        <f>1/(1+Assumptions!$C$21)^C11</f>
        <v/>
      </c>
      <c r="J11" s="45">
        <f>G11*I11</f>
        <v/>
      </c>
      <c r="K11" s="46">
        <f>H11*I11</f>
        <v/>
      </c>
    </row>
    <row r="12">
      <c r="B12" s="48">
        <f>Assumptions!$C$15+3</f>
        <v/>
      </c>
      <c r="C12" s="49" t="n">
        <v>3</v>
      </c>
      <c r="D12" s="50">
        <f>IF(B12&lt;Assumptions!$C$16,'Cost Breakdown'!$E$75/Assumptions!$C$17,0)</f>
        <v/>
      </c>
      <c r="E12" s="50">
        <f>IF(AND(B12&gt;=Assumptions!$C$16,B12&lt;Assumptions!$C$16+Assumptions!$C$18),'Cost Breakdown'!$E$92,0)</f>
        <v/>
      </c>
      <c r="F12" s="50">
        <f>IF(B12=Assumptions!$C$16+Assumptions!$C$18,'Cost Breakdown'!$E$100,0)</f>
        <v/>
      </c>
      <c r="G12" s="50">
        <f>D12+E12+F12</f>
        <v/>
      </c>
      <c r="H12" s="51">
        <f>IF(AND(B12&gt;=Assumptions!$C$16,B12&lt;Assumptions!$C$16+Assumptions!$C$18),Assumptions!$C$26,0)</f>
        <v/>
      </c>
      <c r="I12" s="52">
        <f>1/(1+Assumptions!$C$21)^C12</f>
        <v/>
      </c>
      <c r="J12" s="50">
        <f>G12*I12</f>
        <v/>
      </c>
      <c r="K12" s="51">
        <f>H12*I12</f>
        <v/>
      </c>
    </row>
    <row r="13">
      <c r="B13" s="43">
        <f>Assumptions!$C$15+4</f>
        <v/>
      </c>
      <c r="C13" s="44" t="n">
        <v>4</v>
      </c>
      <c r="D13" s="45">
        <f>IF(B13&lt;Assumptions!$C$16,'Cost Breakdown'!$E$75/Assumptions!$C$17,0)</f>
        <v/>
      </c>
      <c r="E13" s="45">
        <f>IF(AND(B13&gt;=Assumptions!$C$16,B13&lt;Assumptions!$C$16+Assumptions!$C$18),'Cost Breakdown'!$E$92,0)</f>
        <v/>
      </c>
      <c r="F13" s="45">
        <f>IF(B13=Assumptions!$C$16+Assumptions!$C$18,'Cost Breakdown'!$E$100,0)</f>
        <v/>
      </c>
      <c r="G13" s="45">
        <f>D13+E13+F13</f>
        <v/>
      </c>
      <c r="H13" s="46">
        <f>IF(AND(B13&gt;=Assumptions!$C$16,B13&lt;Assumptions!$C$16+Assumptions!$C$18),Assumptions!$C$26,0)</f>
        <v/>
      </c>
      <c r="I13" s="47">
        <f>1/(1+Assumptions!$C$21)^C13</f>
        <v/>
      </c>
      <c r="J13" s="45">
        <f>G13*I13</f>
        <v/>
      </c>
      <c r="K13" s="46">
        <f>H13*I13</f>
        <v/>
      </c>
    </row>
    <row r="14">
      <c r="B14" s="48">
        <f>Assumptions!$C$15+5</f>
        <v/>
      </c>
      <c r="C14" s="49" t="n">
        <v>5</v>
      </c>
      <c r="D14" s="50">
        <f>IF(B14&lt;Assumptions!$C$16,'Cost Breakdown'!$E$75/Assumptions!$C$17,0)</f>
        <v/>
      </c>
      <c r="E14" s="50">
        <f>IF(AND(B14&gt;=Assumptions!$C$16,B14&lt;Assumptions!$C$16+Assumptions!$C$18),'Cost Breakdown'!$E$92,0)</f>
        <v/>
      </c>
      <c r="F14" s="50">
        <f>IF(B14=Assumptions!$C$16+Assumptions!$C$18,'Cost Breakdown'!$E$100,0)</f>
        <v/>
      </c>
      <c r="G14" s="50">
        <f>D14+E14+F14</f>
        <v/>
      </c>
      <c r="H14" s="51">
        <f>IF(AND(B14&gt;=Assumptions!$C$16,B14&lt;Assumptions!$C$16+Assumptions!$C$18),Assumptions!$C$26,0)</f>
        <v/>
      </c>
      <c r="I14" s="52">
        <f>1/(1+Assumptions!$C$21)^C14</f>
        <v/>
      </c>
      <c r="J14" s="50">
        <f>G14*I14</f>
        <v/>
      </c>
      <c r="K14" s="51">
        <f>H14*I14</f>
        <v/>
      </c>
    </row>
    <row r="15">
      <c r="B15" s="43">
        <f>Assumptions!$C$15+6</f>
        <v/>
      </c>
      <c r="C15" s="44" t="n">
        <v>6</v>
      </c>
      <c r="D15" s="45">
        <f>IF(B15&lt;Assumptions!$C$16,'Cost Breakdown'!$E$75/Assumptions!$C$17,0)</f>
        <v/>
      </c>
      <c r="E15" s="45">
        <f>IF(AND(B15&gt;=Assumptions!$C$16,B15&lt;Assumptions!$C$16+Assumptions!$C$18),'Cost Breakdown'!$E$92,0)</f>
        <v/>
      </c>
      <c r="F15" s="45">
        <f>IF(B15=Assumptions!$C$16+Assumptions!$C$18,'Cost Breakdown'!$E$100,0)</f>
        <v/>
      </c>
      <c r="G15" s="45">
        <f>D15+E15+F15</f>
        <v/>
      </c>
      <c r="H15" s="46">
        <f>IF(AND(B15&gt;=Assumptions!$C$16,B15&lt;Assumptions!$C$16+Assumptions!$C$18),Assumptions!$C$26,0)</f>
        <v/>
      </c>
      <c r="I15" s="47">
        <f>1/(1+Assumptions!$C$21)^C15</f>
        <v/>
      </c>
      <c r="J15" s="45">
        <f>G15*I15</f>
        <v/>
      </c>
      <c r="K15" s="46">
        <f>H15*I15</f>
        <v/>
      </c>
    </row>
    <row r="16">
      <c r="B16" s="48">
        <f>Assumptions!$C$15+7</f>
        <v/>
      </c>
      <c r="C16" s="49" t="n">
        <v>7</v>
      </c>
      <c r="D16" s="50">
        <f>IF(B16&lt;Assumptions!$C$16,'Cost Breakdown'!$E$75/Assumptions!$C$17,0)</f>
        <v/>
      </c>
      <c r="E16" s="50">
        <f>IF(AND(B16&gt;=Assumptions!$C$16,B16&lt;Assumptions!$C$16+Assumptions!$C$18),'Cost Breakdown'!$E$92,0)</f>
        <v/>
      </c>
      <c r="F16" s="50">
        <f>IF(B16=Assumptions!$C$16+Assumptions!$C$18,'Cost Breakdown'!$E$100,0)</f>
        <v/>
      </c>
      <c r="G16" s="50">
        <f>D16+E16+F16</f>
        <v/>
      </c>
      <c r="H16" s="51">
        <f>IF(AND(B16&gt;=Assumptions!$C$16,B16&lt;Assumptions!$C$16+Assumptions!$C$18),Assumptions!$C$26,0)</f>
        <v/>
      </c>
      <c r="I16" s="52">
        <f>1/(1+Assumptions!$C$21)^C16</f>
        <v/>
      </c>
      <c r="J16" s="50">
        <f>G16*I16</f>
        <v/>
      </c>
      <c r="K16" s="51">
        <f>H16*I16</f>
        <v/>
      </c>
    </row>
    <row r="17">
      <c r="B17" s="43">
        <f>Assumptions!$C$15+8</f>
        <v/>
      </c>
      <c r="C17" s="44" t="n">
        <v>8</v>
      </c>
      <c r="D17" s="45">
        <f>IF(B17&lt;Assumptions!$C$16,'Cost Breakdown'!$E$75/Assumptions!$C$17,0)</f>
        <v/>
      </c>
      <c r="E17" s="45">
        <f>IF(AND(B17&gt;=Assumptions!$C$16,B17&lt;Assumptions!$C$16+Assumptions!$C$18),'Cost Breakdown'!$E$92,0)</f>
        <v/>
      </c>
      <c r="F17" s="45">
        <f>IF(B17=Assumptions!$C$16+Assumptions!$C$18,'Cost Breakdown'!$E$100,0)</f>
        <v/>
      </c>
      <c r="G17" s="45">
        <f>D17+E17+F17</f>
        <v/>
      </c>
      <c r="H17" s="46">
        <f>IF(AND(B17&gt;=Assumptions!$C$16,B17&lt;Assumptions!$C$16+Assumptions!$C$18),Assumptions!$C$26,0)</f>
        <v/>
      </c>
      <c r="I17" s="47">
        <f>1/(1+Assumptions!$C$21)^C17</f>
        <v/>
      </c>
      <c r="J17" s="45">
        <f>G17*I17</f>
        <v/>
      </c>
      <c r="K17" s="46">
        <f>H17*I17</f>
        <v/>
      </c>
    </row>
    <row r="18">
      <c r="B18" s="48">
        <f>Assumptions!$C$15+9</f>
        <v/>
      </c>
      <c r="C18" s="49" t="n">
        <v>9</v>
      </c>
      <c r="D18" s="50">
        <f>IF(B18&lt;Assumptions!$C$16,'Cost Breakdown'!$E$75/Assumptions!$C$17,0)</f>
        <v/>
      </c>
      <c r="E18" s="50">
        <f>IF(AND(B18&gt;=Assumptions!$C$16,B18&lt;Assumptions!$C$16+Assumptions!$C$18),'Cost Breakdown'!$E$92,0)</f>
        <v/>
      </c>
      <c r="F18" s="50">
        <f>IF(B18=Assumptions!$C$16+Assumptions!$C$18,'Cost Breakdown'!$E$100,0)</f>
        <v/>
      </c>
      <c r="G18" s="50">
        <f>D18+E18+F18</f>
        <v/>
      </c>
      <c r="H18" s="51">
        <f>IF(AND(B18&gt;=Assumptions!$C$16,B18&lt;Assumptions!$C$16+Assumptions!$C$18),Assumptions!$C$26,0)</f>
        <v/>
      </c>
      <c r="I18" s="52">
        <f>1/(1+Assumptions!$C$21)^C18</f>
        <v/>
      </c>
      <c r="J18" s="50">
        <f>G18*I18</f>
        <v/>
      </c>
      <c r="K18" s="51">
        <f>H18*I18</f>
        <v/>
      </c>
    </row>
    <row r="19">
      <c r="B19" s="43">
        <f>Assumptions!$C$15+10</f>
        <v/>
      </c>
      <c r="C19" s="44" t="n">
        <v>10</v>
      </c>
      <c r="D19" s="45">
        <f>IF(B19&lt;Assumptions!$C$16,'Cost Breakdown'!$E$75/Assumptions!$C$17,0)</f>
        <v/>
      </c>
      <c r="E19" s="45">
        <f>IF(AND(B19&gt;=Assumptions!$C$16,B19&lt;Assumptions!$C$16+Assumptions!$C$18),'Cost Breakdown'!$E$92,0)</f>
        <v/>
      </c>
      <c r="F19" s="45">
        <f>IF(B19=Assumptions!$C$16+Assumptions!$C$18,'Cost Breakdown'!$E$100,0)</f>
        <v/>
      </c>
      <c r="G19" s="45">
        <f>D19+E19+F19</f>
        <v/>
      </c>
      <c r="H19" s="46">
        <f>IF(AND(B19&gt;=Assumptions!$C$16,B19&lt;Assumptions!$C$16+Assumptions!$C$18),Assumptions!$C$26,0)</f>
        <v/>
      </c>
      <c r="I19" s="47">
        <f>1/(1+Assumptions!$C$21)^C19</f>
        <v/>
      </c>
      <c r="J19" s="45">
        <f>G19*I19</f>
        <v/>
      </c>
      <c r="K19" s="46">
        <f>H19*I19</f>
        <v/>
      </c>
    </row>
    <row r="20">
      <c r="B20" s="48">
        <f>Assumptions!$C$15+11</f>
        <v/>
      </c>
      <c r="C20" s="49" t="n">
        <v>11</v>
      </c>
      <c r="D20" s="50">
        <f>IF(B20&lt;Assumptions!$C$16,'Cost Breakdown'!$E$75/Assumptions!$C$17,0)</f>
        <v/>
      </c>
      <c r="E20" s="50">
        <f>IF(AND(B20&gt;=Assumptions!$C$16,B20&lt;Assumptions!$C$16+Assumptions!$C$18),'Cost Breakdown'!$E$92,0)</f>
        <v/>
      </c>
      <c r="F20" s="50">
        <f>IF(B20=Assumptions!$C$16+Assumptions!$C$18,'Cost Breakdown'!$E$100,0)</f>
        <v/>
      </c>
      <c r="G20" s="50">
        <f>D20+E20+F20</f>
        <v/>
      </c>
      <c r="H20" s="51">
        <f>IF(AND(B20&gt;=Assumptions!$C$16,B20&lt;Assumptions!$C$16+Assumptions!$C$18),Assumptions!$C$26,0)</f>
        <v/>
      </c>
      <c r="I20" s="52">
        <f>1/(1+Assumptions!$C$21)^C20</f>
        <v/>
      </c>
      <c r="J20" s="50">
        <f>G20*I20</f>
        <v/>
      </c>
      <c r="K20" s="51">
        <f>H20*I20</f>
        <v/>
      </c>
    </row>
    <row r="21">
      <c r="B21" s="43">
        <f>Assumptions!$C$15+12</f>
        <v/>
      </c>
      <c r="C21" s="44" t="n">
        <v>12</v>
      </c>
      <c r="D21" s="45">
        <f>IF(B21&lt;Assumptions!$C$16,'Cost Breakdown'!$E$75/Assumptions!$C$17,0)</f>
        <v/>
      </c>
      <c r="E21" s="45">
        <f>IF(AND(B21&gt;=Assumptions!$C$16,B21&lt;Assumptions!$C$16+Assumptions!$C$18),'Cost Breakdown'!$E$92,0)</f>
        <v/>
      </c>
      <c r="F21" s="45">
        <f>IF(B21=Assumptions!$C$16+Assumptions!$C$18,'Cost Breakdown'!$E$100,0)</f>
        <v/>
      </c>
      <c r="G21" s="45">
        <f>D21+E21+F21</f>
        <v/>
      </c>
      <c r="H21" s="46">
        <f>IF(AND(B21&gt;=Assumptions!$C$16,B21&lt;Assumptions!$C$16+Assumptions!$C$18),Assumptions!$C$26,0)</f>
        <v/>
      </c>
      <c r="I21" s="47">
        <f>1/(1+Assumptions!$C$21)^C21</f>
        <v/>
      </c>
      <c r="J21" s="45">
        <f>G21*I21</f>
        <v/>
      </c>
      <c r="K21" s="46">
        <f>H21*I21</f>
        <v/>
      </c>
    </row>
    <row r="22">
      <c r="B22" s="48">
        <f>Assumptions!$C$15+13</f>
        <v/>
      </c>
      <c r="C22" s="49" t="n">
        <v>13</v>
      </c>
      <c r="D22" s="50">
        <f>IF(B22&lt;Assumptions!$C$16,'Cost Breakdown'!$E$75/Assumptions!$C$17,0)</f>
        <v/>
      </c>
      <c r="E22" s="50">
        <f>IF(AND(B22&gt;=Assumptions!$C$16,B22&lt;Assumptions!$C$16+Assumptions!$C$18),'Cost Breakdown'!$E$92,0)</f>
        <v/>
      </c>
      <c r="F22" s="50">
        <f>IF(B22=Assumptions!$C$16+Assumptions!$C$18,'Cost Breakdown'!$E$100,0)</f>
        <v/>
      </c>
      <c r="G22" s="50">
        <f>D22+E22+F22</f>
        <v/>
      </c>
      <c r="H22" s="51">
        <f>IF(AND(B22&gt;=Assumptions!$C$16,B22&lt;Assumptions!$C$16+Assumptions!$C$18),Assumptions!$C$26,0)</f>
        <v/>
      </c>
      <c r="I22" s="52">
        <f>1/(1+Assumptions!$C$21)^C22</f>
        <v/>
      </c>
      <c r="J22" s="50">
        <f>G22*I22</f>
        <v/>
      </c>
      <c r="K22" s="51">
        <f>H22*I22</f>
        <v/>
      </c>
    </row>
    <row r="23">
      <c r="B23" s="43">
        <f>Assumptions!$C$15+14</f>
        <v/>
      </c>
      <c r="C23" s="44" t="n">
        <v>14</v>
      </c>
      <c r="D23" s="45">
        <f>IF(B23&lt;Assumptions!$C$16,'Cost Breakdown'!$E$75/Assumptions!$C$17,0)</f>
        <v/>
      </c>
      <c r="E23" s="45">
        <f>IF(AND(B23&gt;=Assumptions!$C$16,B23&lt;Assumptions!$C$16+Assumptions!$C$18),'Cost Breakdown'!$E$92,0)</f>
        <v/>
      </c>
      <c r="F23" s="45">
        <f>IF(B23=Assumptions!$C$16+Assumptions!$C$18,'Cost Breakdown'!$E$100,0)</f>
        <v/>
      </c>
      <c r="G23" s="45">
        <f>D23+E23+F23</f>
        <v/>
      </c>
      <c r="H23" s="46">
        <f>IF(AND(B23&gt;=Assumptions!$C$16,B23&lt;Assumptions!$C$16+Assumptions!$C$18),Assumptions!$C$26,0)</f>
        <v/>
      </c>
      <c r="I23" s="47">
        <f>1/(1+Assumptions!$C$21)^C23</f>
        <v/>
      </c>
      <c r="J23" s="45">
        <f>G23*I23</f>
        <v/>
      </c>
      <c r="K23" s="46">
        <f>H23*I23</f>
        <v/>
      </c>
    </row>
    <row r="24">
      <c r="B24" s="48">
        <f>Assumptions!$C$15+15</f>
        <v/>
      </c>
      <c r="C24" s="49" t="n">
        <v>15</v>
      </c>
      <c r="D24" s="50">
        <f>IF(B24&lt;Assumptions!$C$16,'Cost Breakdown'!$E$75/Assumptions!$C$17,0)</f>
        <v/>
      </c>
      <c r="E24" s="50">
        <f>IF(AND(B24&gt;=Assumptions!$C$16,B24&lt;Assumptions!$C$16+Assumptions!$C$18),'Cost Breakdown'!$E$92,0)</f>
        <v/>
      </c>
      <c r="F24" s="50">
        <f>IF(B24=Assumptions!$C$16+Assumptions!$C$18,'Cost Breakdown'!$E$100,0)</f>
        <v/>
      </c>
      <c r="G24" s="50">
        <f>D24+E24+F24</f>
        <v/>
      </c>
      <c r="H24" s="51">
        <f>IF(AND(B24&gt;=Assumptions!$C$16,B24&lt;Assumptions!$C$16+Assumptions!$C$18),Assumptions!$C$26,0)</f>
        <v/>
      </c>
      <c r="I24" s="52">
        <f>1/(1+Assumptions!$C$21)^C24</f>
        <v/>
      </c>
      <c r="J24" s="50">
        <f>G24*I24</f>
        <v/>
      </c>
      <c r="K24" s="51">
        <f>H24*I24</f>
        <v/>
      </c>
    </row>
    <row r="25">
      <c r="B25" s="43">
        <f>Assumptions!$C$15+16</f>
        <v/>
      </c>
      <c r="C25" s="44" t="n">
        <v>16</v>
      </c>
      <c r="D25" s="45">
        <f>IF(B25&lt;Assumptions!$C$16,'Cost Breakdown'!$E$75/Assumptions!$C$17,0)</f>
        <v/>
      </c>
      <c r="E25" s="45">
        <f>IF(AND(B25&gt;=Assumptions!$C$16,B25&lt;Assumptions!$C$16+Assumptions!$C$18),'Cost Breakdown'!$E$92,0)</f>
        <v/>
      </c>
      <c r="F25" s="45">
        <f>IF(B25=Assumptions!$C$16+Assumptions!$C$18,'Cost Breakdown'!$E$100,0)</f>
        <v/>
      </c>
      <c r="G25" s="45">
        <f>D25+E25+F25</f>
        <v/>
      </c>
      <c r="H25" s="46">
        <f>IF(AND(B25&gt;=Assumptions!$C$16,B25&lt;Assumptions!$C$16+Assumptions!$C$18),Assumptions!$C$26,0)</f>
        <v/>
      </c>
      <c r="I25" s="47">
        <f>1/(1+Assumptions!$C$21)^C25</f>
        <v/>
      </c>
      <c r="J25" s="45">
        <f>G25*I25</f>
        <v/>
      </c>
      <c r="K25" s="46">
        <f>H25*I25</f>
        <v/>
      </c>
    </row>
    <row r="26">
      <c r="B26" s="48">
        <f>Assumptions!$C$15+17</f>
        <v/>
      </c>
      <c r="C26" s="49" t="n">
        <v>17</v>
      </c>
      <c r="D26" s="50">
        <f>IF(B26&lt;Assumptions!$C$16,'Cost Breakdown'!$E$75/Assumptions!$C$17,0)</f>
        <v/>
      </c>
      <c r="E26" s="50">
        <f>IF(AND(B26&gt;=Assumptions!$C$16,B26&lt;Assumptions!$C$16+Assumptions!$C$18),'Cost Breakdown'!$E$92,0)</f>
        <v/>
      </c>
      <c r="F26" s="50">
        <f>IF(B26=Assumptions!$C$16+Assumptions!$C$18,'Cost Breakdown'!$E$100,0)</f>
        <v/>
      </c>
      <c r="G26" s="50">
        <f>D26+E26+F26</f>
        <v/>
      </c>
      <c r="H26" s="51">
        <f>IF(AND(B26&gt;=Assumptions!$C$16,B26&lt;Assumptions!$C$16+Assumptions!$C$18),Assumptions!$C$26,0)</f>
        <v/>
      </c>
      <c r="I26" s="52">
        <f>1/(1+Assumptions!$C$21)^C26</f>
        <v/>
      </c>
      <c r="J26" s="50">
        <f>G26*I26</f>
        <v/>
      </c>
      <c r="K26" s="51">
        <f>H26*I26</f>
        <v/>
      </c>
    </row>
    <row r="27">
      <c r="B27" s="43">
        <f>Assumptions!$C$15+18</f>
        <v/>
      </c>
      <c r="C27" s="44" t="n">
        <v>18</v>
      </c>
      <c r="D27" s="45">
        <f>IF(B27&lt;Assumptions!$C$16,'Cost Breakdown'!$E$75/Assumptions!$C$17,0)</f>
        <v/>
      </c>
      <c r="E27" s="45">
        <f>IF(AND(B27&gt;=Assumptions!$C$16,B27&lt;Assumptions!$C$16+Assumptions!$C$18),'Cost Breakdown'!$E$92,0)</f>
        <v/>
      </c>
      <c r="F27" s="45">
        <f>IF(B27=Assumptions!$C$16+Assumptions!$C$18,'Cost Breakdown'!$E$100,0)</f>
        <v/>
      </c>
      <c r="G27" s="45">
        <f>D27+E27+F27</f>
        <v/>
      </c>
      <c r="H27" s="46">
        <f>IF(AND(B27&gt;=Assumptions!$C$16,B27&lt;Assumptions!$C$16+Assumptions!$C$18),Assumptions!$C$26,0)</f>
        <v/>
      </c>
      <c r="I27" s="47">
        <f>1/(1+Assumptions!$C$21)^C27</f>
        <v/>
      </c>
      <c r="J27" s="45">
        <f>G27*I27</f>
        <v/>
      </c>
      <c r="K27" s="46">
        <f>H27*I27</f>
        <v/>
      </c>
    </row>
    <row r="28">
      <c r="B28" s="48">
        <f>Assumptions!$C$15+19</f>
        <v/>
      </c>
      <c r="C28" s="49" t="n">
        <v>19</v>
      </c>
      <c r="D28" s="50">
        <f>IF(B28&lt;Assumptions!$C$16,'Cost Breakdown'!$E$75/Assumptions!$C$17,0)</f>
        <v/>
      </c>
      <c r="E28" s="50">
        <f>IF(AND(B28&gt;=Assumptions!$C$16,B28&lt;Assumptions!$C$16+Assumptions!$C$18),'Cost Breakdown'!$E$92,0)</f>
        <v/>
      </c>
      <c r="F28" s="50">
        <f>IF(B28=Assumptions!$C$16+Assumptions!$C$18,'Cost Breakdown'!$E$100,0)</f>
        <v/>
      </c>
      <c r="G28" s="50">
        <f>D28+E28+F28</f>
        <v/>
      </c>
      <c r="H28" s="51">
        <f>IF(AND(B28&gt;=Assumptions!$C$16,B28&lt;Assumptions!$C$16+Assumptions!$C$18),Assumptions!$C$26,0)</f>
        <v/>
      </c>
      <c r="I28" s="52">
        <f>1/(1+Assumptions!$C$21)^C28</f>
        <v/>
      </c>
      <c r="J28" s="50">
        <f>G28*I28</f>
        <v/>
      </c>
      <c r="K28" s="51">
        <f>H28*I28</f>
        <v/>
      </c>
    </row>
    <row r="29">
      <c r="B29" s="43">
        <f>Assumptions!$C$15+20</f>
        <v/>
      </c>
      <c r="C29" s="44" t="n">
        <v>20</v>
      </c>
      <c r="D29" s="45">
        <f>IF(B29&lt;Assumptions!$C$16,'Cost Breakdown'!$E$75/Assumptions!$C$17,0)</f>
        <v/>
      </c>
      <c r="E29" s="45">
        <f>IF(AND(B29&gt;=Assumptions!$C$16,B29&lt;Assumptions!$C$16+Assumptions!$C$18),'Cost Breakdown'!$E$92,0)</f>
        <v/>
      </c>
      <c r="F29" s="45">
        <f>IF(B29=Assumptions!$C$16+Assumptions!$C$18,'Cost Breakdown'!$E$100,0)</f>
        <v/>
      </c>
      <c r="G29" s="45">
        <f>D29+E29+F29</f>
        <v/>
      </c>
      <c r="H29" s="46">
        <f>IF(AND(B29&gt;=Assumptions!$C$16,B29&lt;Assumptions!$C$16+Assumptions!$C$18),Assumptions!$C$26,0)</f>
        <v/>
      </c>
      <c r="I29" s="47">
        <f>1/(1+Assumptions!$C$21)^C29</f>
        <v/>
      </c>
      <c r="J29" s="45">
        <f>G29*I29</f>
        <v/>
      </c>
      <c r="K29" s="46">
        <f>H29*I29</f>
        <v/>
      </c>
    </row>
    <row r="30">
      <c r="B30" s="48">
        <f>Assumptions!$C$15+21</f>
        <v/>
      </c>
      <c r="C30" s="49" t="n">
        <v>21</v>
      </c>
      <c r="D30" s="50">
        <f>IF(B30&lt;Assumptions!$C$16,'Cost Breakdown'!$E$75/Assumptions!$C$17,0)</f>
        <v/>
      </c>
      <c r="E30" s="50">
        <f>IF(AND(B30&gt;=Assumptions!$C$16,B30&lt;Assumptions!$C$16+Assumptions!$C$18),'Cost Breakdown'!$E$92,0)</f>
        <v/>
      </c>
      <c r="F30" s="50">
        <f>IF(B30=Assumptions!$C$16+Assumptions!$C$18,'Cost Breakdown'!$E$100,0)</f>
        <v/>
      </c>
      <c r="G30" s="50">
        <f>D30+E30+F30</f>
        <v/>
      </c>
      <c r="H30" s="51">
        <f>IF(AND(B30&gt;=Assumptions!$C$16,B30&lt;Assumptions!$C$16+Assumptions!$C$18),Assumptions!$C$26,0)</f>
        <v/>
      </c>
      <c r="I30" s="52">
        <f>1/(1+Assumptions!$C$21)^C30</f>
        <v/>
      </c>
      <c r="J30" s="50">
        <f>G30*I30</f>
        <v/>
      </c>
      <c r="K30" s="51">
        <f>H30*I30</f>
        <v/>
      </c>
    </row>
    <row r="31">
      <c r="B31" s="43">
        <f>Assumptions!$C$15+22</f>
        <v/>
      </c>
      <c r="C31" s="44" t="n">
        <v>22</v>
      </c>
      <c r="D31" s="45">
        <f>IF(B31&lt;Assumptions!$C$16,'Cost Breakdown'!$E$75/Assumptions!$C$17,0)</f>
        <v/>
      </c>
      <c r="E31" s="45">
        <f>IF(AND(B31&gt;=Assumptions!$C$16,B31&lt;Assumptions!$C$16+Assumptions!$C$18),'Cost Breakdown'!$E$92,0)</f>
        <v/>
      </c>
      <c r="F31" s="45">
        <f>IF(B31=Assumptions!$C$16+Assumptions!$C$18,'Cost Breakdown'!$E$100,0)</f>
        <v/>
      </c>
      <c r="G31" s="45">
        <f>D31+E31+F31</f>
        <v/>
      </c>
      <c r="H31" s="46">
        <f>IF(AND(B31&gt;=Assumptions!$C$16,B31&lt;Assumptions!$C$16+Assumptions!$C$18),Assumptions!$C$26,0)</f>
        <v/>
      </c>
      <c r="I31" s="47">
        <f>1/(1+Assumptions!$C$21)^C31</f>
        <v/>
      </c>
      <c r="J31" s="45">
        <f>G31*I31</f>
        <v/>
      </c>
      <c r="K31" s="46">
        <f>H31*I31</f>
        <v/>
      </c>
    </row>
    <row r="32">
      <c r="B32" s="48">
        <f>Assumptions!$C$15+23</f>
        <v/>
      </c>
      <c r="C32" s="49" t="n">
        <v>23</v>
      </c>
      <c r="D32" s="50">
        <f>IF(B32&lt;Assumptions!$C$16,'Cost Breakdown'!$E$75/Assumptions!$C$17,0)</f>
        <v/>
      </c>
      <c r="E32" s="50">
        <f>IF(AND(B32&gt;=Assumptions!$C$16,B32&lt;Assumptions!$C$16+Assumptions!$C$18),'Cost Breakdown'!$E$92,0)</f>
        <v/>
      </c>
      <c r="F32" s="50">
        <f>IF(B32=Assumptions!$C$16+Assumptions!$C$18,'Cost Breakdown'!$E$100,0)</f>
        <v/>
      </c>
      <c r="G32" s="50">
        <f>D32+E32+F32</f>
        <v/>
      </c>
      <c r="H32" s="51">
        <f>IF(AND(B32&gt;=Assumptions!$C$16,B32&lt;Assumptions!$C$16+Assumptions!$C$18),Assumptions!$C$26,0)</f>
        <v/>
      </c>
      <c r="I32" s="52">
        <f>1/(1+Assumptions!$C$21)^C32</f>
        <v/>
      </c>
      <c r="J32" s="50">
        <f>G32*I32</f>
        <v/>
      </c>
      <c r="K32" s="51">
        <f>H32*I32</f>
        <v/>
      </c>
    </row>
    <row r="33">
      <c r="B33" s="43">
        <f>Assumptions!$C$15+24</f>
        <v/>
      </c>
      <c r="C33" s="44" t="n">
        <v>24</v>
      </c>
      <c r="D33" s="45">
        <f>IF(B33&lt;Assumptions!$C$16,'Cost Breakdown'!$E$75/Assumptions!$C$17,0)</f>
        <v/>
      </c>
      <c r="E33" s="45">
        <f>IF(AND(B33&gt;=Assumptions!$C$16,B33&lt;Assumptions!$C$16+Assumptions!$C$18),'Cost Breakdown'!$E$92,0)</f>
        <v/>
      </c>
      <c r="F33" s="45">
        <f>IF(B33=Assumptions!$C$16+Assumptions!$C$18,'Cost Breakdown'!$E$100,0)</f>
        <v/>
      </c>
      <c r="G33" s="45">
        <f>D33+E33+F33</f>
        <v/>
      </c>
      <c r="H33" s="46">
        <f>IF(AND(B33&gt;=Assumptions!$C$16,B33&lt;Assumptions!$C$16+Assumptions!$C$18),Assumptions!$C$26,0)</f>
        <v/>
      </c>
      <c r="I33" s="47">
        <f>1/(1+Assumptions!$C$21)^C33</f>
        <v/>
      </c>
      <c r="J33" s="45">
        <f>G33*I33</f>
        <v/>
      </c>
      <c r="K33" s="46">
        <f>H33*I33</f>
        <v/>
      </c>
    </row>
    <row r="34">
      <c r="B34" s="48">
        <f>Assumptions!$C$15+25</f>
        <v/>
      </c>
      <c r="C34" s="49" t="n">
        <v>25</v>
      </c>
      <c r="D34" s="50">
        <f>IF(B34&lt;Assumptions!$C$16,'Cost Breakdown'!$E$75/Assumptions!$C$17,0)</f>
        <v/>
      </c>
      <c r="E34" s="50">
        <f>IF(AND(B34&gt;=Assumptions!$C$16,B34&lt;Assumptions!$C$16+Assumptions!$C$18),'Cost Breakdown'!$E$92,0)</f>
        <v/>
      </c>
      <c r="F34" s="50">
        <f>IF(B34=Assumptions!$C$16+Assumptions!$C$18,'Cost Breakdown'!$E$100,0)</f>
        <v/>
      </c>
      <c r="G34" s="50">
        <f>D34+E34+F34</f>
        <v/>
      </c>
      <c r="H34" s="51">
        <f>IF(AND(B34&gt;=Assumptions!$C$16,B34&lt;Assumptions!$C$16+Assumptions!$C$18),Assumptions!$C$26,0)</f>
        <v/>
      </c>
      <c r="I34" s="52">
        <f>1/(1+Assumptions!$C$21)^C34</f>
        <v/>
      </c>
      <c r="J34" s="50">
        <f>G34*I34</f>
        <v/>
      </c>
      <c r="K34" s="51">
        <f>H34*I34</f>
        <v/>
      </c>
    </row>
    <row r="35">
      <c r="B35" s="43">
        <f>Assumptions!$C$15+26</f>
        <v/>
      </c>
      <c r="C35" s="44" t="n">
        <v>26</v>
      </c>
      <c r="D35" s="45">
        <f>IF(B35&lt;Assumptions!$C$16,'Cost Breakdown'!$E$75/Assumptions!$C$17,0)</f>
        <v/>
      </c>
      <c r="E35" s="45">
        <f>IF(AND(B35&gt;=Assumptions!$C$16,B35&lt;Assumptions!$C$16+Assumptions!$C$18),'Cost Breakdown'!$E$92,0)</f>
        <v/>
      </c>
      <c r="F35" s="45">
        <f>IF(B35=Assumptions!$C$16+Assumptions!$C$18,'Cost Breakdown'!$E$100,0)</f>
        <v/>
      </c>
      <c r="G35" s="45">
        <f>D35+E35+F35</f>
        <v/>
      </c>
      <c r="H35" s="46">
        <f>IF(AND(B35&gt;=Assumptions!$C$16,B35&lt;Assumptions!$C$16+Assumptions!$C$18),Assumptions!$C$26,0)</f>
        <v/>
      </c>
      <c r="I35" s="47">
        <f>1/(1+Assumptions!$C$21)^C35</f>
        <v/>
      </c>
      <c r="J35" s="45">
        <f>G35*I35</f>
        <v/>
      </c>
      <c r="K35" s="46">
        <f>H35*I35</f>
        <v/>
      </c>
    </row>
    <row r="36">
      <c r="B36" s="48">
        <f>Assumptions!$C$15+27</f>
        <v/>
      </c>
      <c r="C36" s="49" t="n">
        <v>27</v>
      </c>
      <c r="D36" s="50">
        <f>IF(B36&lt;Assumptions!$C$16,'Cost Breakdown'!$E$75/Assumptions!$C$17,0)</f>
        <v/>
      </c>
      <c r="E36" s="50">
        <f>IF(AND(B36&gt;=Assumptions!$C$16,B36&lt;Assumptions!$C$16+Assumptions!$C$18),'Cost Breakdown'!$E$92,0)</f>
        <v/>
      </c>
      <c r="F36" s="50">
        <f>IF(B36=Assumptions!$C$16+Assumptions!$C$18,'Cost Breakdown'!$E$100,0)</f>
        <v/>
      </c>
      <c r="G36" s="50">
        <f>D36+E36+F36</f>
        <v/>
      </c>
      <c r="H36" s="51">
        <f>IF(AND(B36&gt;=Assumptions!$C$16,B36&lt;Assumptions!$C$16+Assumptions!$C$18),Assumptions!$C$26,0)</f>
        <v/>
      </c>
      <c r="I36" s="52">
        <f>1/(1+Assumptions!$C$21)^C36</f>
        <v/>
      </c>
      <c r="J36" s="50">
        <f>G36*I36</f>
        <v/>
      </c>
      <c r="K36" s="51">
        <f>H36*I36</f>
        <v/>
      </c>
    </row>
    <row r="37">
      <c r="B37" s="43">
        <f>Assumptions!$C$15+28</f>
        <v/>
      </c>
      <c r="C37" s="44" t="n">
        <v>28</v>
      </c>
      <c r="D37" s="45">
        <f>IF(B37&lt;Assumptions!$C$16,'Cost Breakdown'!$E$75/Assumptions!$C$17,0)</f>
        <v/>
      </c>
      <c r="E37" s="45">
        <f>IF(AND(B37&gt;=Assumptions!$C$16,B37&lt;Assumptions!$C$16+Assumptions!$C$18),'Cost Breakdown'!$E$92,0)</f>
        <v/>
      </c>
      <c r="F37" s="45">
        <f>IF(B37=Assumptions!$C$16+Assumptions!$C$18,'Cost Breakdown'!$E$100,0)</f>
        <v/>
      </c>
      <c r="G37" s="45">
        <f>D37+E37+F37</f>
        <v/>
      </c>
      <c r="H37" s="46">
        <f>IF(AND(B37&gt;=Assumptions!$C$16,B37&lt;Assumptions!$C$16+Assumptions!$C$18),Assumptions!$C$26,0)</f>
        <v/>
      </c>
      <c r="I37" s="47">
        <f>1/(1+Assumptions!$C$21)^C37</f>
        <v/>
      </c>
      <c r="J37" s="45">
        <f>G37*I37</f>
        <v/>
      </c>
      <c r="K37" s="46">
        <f>H37*I37</f>
        <v/>
      </c>
    </row>
    <row r="38">
      <c r="B38" s="48">
        <f>Assumptions!$C$15+29</f>
        <v/>
      </c>
      <c r="C38" s="49" t="n">
        <v>29</v>
      </c>
      <c r="D38" s="50">
        <f>IF(B38&lt;Assumptions!$C$16,'Cost Breakdown'!$E$75/Assumptions!$C$17,0)</f>
        <v/>
      </c>
      <c r="E38" s="50">
        <f>IF(AND(B38&gt;=Assumptions!$C$16,B38&lt;Assumptions!$C$16+Assumptions!$C$18),'Cost Breakdown'!$E$92,0)</f>
        <v/>
      </c>
      <c r="F38" s="50">
        <f>IF(B38=Assumptions!$C$16+Assumptions!$C$18,'Cost Breakdown'!$E$100,0)</f>
        <v/>
      </c>
      <c r="G38" s="50">
        <f>D38+E38+F38</f>
        <v/>
      </c>
      <c r="H38" s="51">
        <f>IF(AND(B38&gt;=Assumptions!$C$16,B38&lt;Assumptions!$C$16+Assumptions!$C$18),Assumptions!$C$26,0)</f>
        <v/>
      </c>
      <c r="I38" s="52">
        <f>1/(1+Assumptions!$C$21)^C38</f>
        <v/>
      </c>
      <c r="J38" s="50">
        <f>G38*I38</f>
        <v/>
      </c>
      <c r="K38" s="51">
        <f>H38*I38</f>
        <v/>
      </c>
    </row>
    <row r="39">
      <c r="B39" s="43">
        <f>Assumptions!$C$15+30</f>
        <v/>
      </c>
      <c r="C39" s="44" t="n">
        <v>30</v>
      </c>
      <c r="D39" s="45">
        <f>IF(B39&lt;Assumptions!$C$16,'Cost Breakdown'!$E$75/Assumptions!$C$17,0)</f>
        <v/>
      </c>
      <c r="E39" s="45">
        <f>IF(AND(B39&gt;=Assumptions!$C$16,B39&lt;Assumptions!$C$16+Assumptions!$C$18),'Cost Breakdown'!$E$92,0)</f>
        <v/>
      </c>
      <c r="F39" s="45">
        <f>IF(B39=Assumptions!$C$16+Assumptions!$C$18,'Cost Breakdown'!$E$100,0)</f>
        <v/>
      </c>
      <c r="G39" s="45">
        <f>D39+E39+F39</f>
        <v/>
      </c>
      <c r="H39" s="46">
        <f>IF(AND(B39&gt;=Assumptions!$C$16,B39&lt;Assumptions!$C$16+Assumptions!$C$18),Assumptions!$C$26,0)</f>
        <v/>
      </c>
      <c r="I39" s="47">
        <f>1/(1+Assumptions!$C$21)^C39</f>
        <v/>
      </c>
      <c r="J39" s="45">
        <f>G39*I39</f>
        <v/>
      </c>
      <c r="K39" s="46">
        <f>H39*I39</f>
        <v/>
      </c>
    </row>
    <row r="40">
      <c r="B40" s="48">
        <f>Assumptions!$C$15+31</f>
        <v/>
      </c>
      <c r="C40" s="49" t="n">
        <v>31</v>
      </c>
      <c r="D40" s="50">
        <f>IF(B40&lt;Assumptions!$C$16,'Cost Breakdown'!$E$75/Assumptions!$C$17,0)</f>
        <v/>
      </c>
      <c r="E40" s="50">
        <f>IF(AND(B40&gt;=Assumptions!$C$16,B40&lt;Assumptions!$C$16+Assumptions!$C$18),'Cost Breakdown'!$E$92,0)</f>
        <v/>
      </c>
      <c r="F40" s="50">
        <f>IF(B40=Assumptions!$C$16+Assumptions!$C$18,'Cost Breakdown'!$E$100,0)</f>
        <v/>
      </c>
      <c r="G40" s="50">
        <f>D40+E40+F40</f>
        <v/>
      </c>
      <c r="H40" s="51">
        <f>IF(AND(B40&gt;=Assumptions!$C$16,B40&lt;Assumptions!$C$16+Assumptions!$C$18),Assumptions!$C$26,0)</f>
        <v/>
      </c>
      <c r="I40" s="52">
        <f>1/(1+Assumptions!$C$21)^C40</f>
        <v/>
      </c>
      <c r="J40" s="50">
        <f>G40*I40</f>
        <v/>
      </c>
      <c r="K40" s="51">
        <f>H40*I40</f>
        <v/>
      </c>
    </row>
    <row r="41">
      <c r="B41" s="43">
        <f>Assumptions!$C$15+32</f>
        <v/>
      </c>
      <c r="C41" s="44" t="n">
        <v>32</v>
      </c>
      <c r="D41" s="45">
        <f>IF(B41&lt;Assumptions!$C$16,'Cost Breakdown'!$E$75/Assumptions!$C$17,0)</f>
        <v/>
      </c>
      <c r="E41" s="45">
        <f>IF(AND(B41&gt;=Assumptions!$C$16,B41&lt;Assumptions!$C$16+Assumptions!$C$18),'Cost Breakdown'!$E$92,0)</f>
        <v/>
      </c>
      <c r="F41" s="45">
        <f>IF(B41=Assumptions!$C$16+Assumptions!$C$18,'Cost Breakdown'!$E$100,0)</f>
        <v/>
      </c>
      <c r="G41" s="45">
        <f>D41+E41+F41</f>
        <v/>
      </c>
      <c r="H41" s="46">
        <f>IF(AND(B41&gt;=Assumptions!$C$16,B41&lt;Assumptions!$C$16+Assumptions!$C$18),Assumptions!$C$26,0)</f>
        <v/>
      </c>
      <c r="I41" s="47">
        <f>1/(1+Assumptions!$C$21)^C41</f>
        <v/>
      </c>
      <c r="J41" s="45">
        <f>G41*I41</f>
        <v/>
      </c>
      <c r="K41" s="46">
        <f>H41*I41</f>
        <v/>
      </c>
    </row>
    <row r="42">
      <c r="B42" s="48">
        <f>Assumptions!$C$15+33</f>
        <v/>
      </c>
      <c r="C42" s="49" t="n">
        <v>33</v>
      </c>
      <c r="D42" s="50">
        <f>IF(B42&lt;Assumptions!$C$16,'Cost Breakdown'!$E$75/Assumptions!$C$17,0)</f>
        <v/>
      </c>
      <c r="E42" s="50">
        <f>IF(AND(B42&gt;=Assumptions!$C$16,B42&lt;Assumptions!$C$16+Assumptions!$C$18),'Cost Breakdown'!$E$92,0)</f>
        <v/>
      </c>
      <c r="F42" s="50">
        <f>IF(B42=Assumptions!$C$16+Assumptions!$C$18,'Cost Breakdown'!$E$100,0)</f>
        <v/>
      </c>
      <c r="G42" s="50">
        <f>D42+E42+F42</f>
        <v/>
      </c>
      <c r="H42" s="51">
        <f>IF(AND(B42&gt;=Assumptions!$C$16,B42&lt;Assumptions!$C$16+Assumptions!$C$18),Assumptions!$C$26,0)</f>
        <v/>
      </c>
      <c r="I42" s="52">
        <f>1/(1+Assumptions!$C$21)^C42</f>
        <v/>
      </c>
      <c r="J42" s="50">
        <f>G42*I42</f>
        <v/>
      </c>
      <c r="K42" s="51">
        <f>H42*I42</f>
        <v/>
      </c>
    </row>
    <row r="43">
      <c r="B43" s="43">
        <f>Assumptions!$C$15+34</f>
        <v/>
      </c>
      <c r="C43" s="44" t="n">
        <v>34</v>
      </c>
      <c r="D43" s="45">
        <f>IF(B43&lt;Assumptions!$C$16,'Cost Breakdown'!$E$75/Assumptions!$C$17,0)</f>
        <v/>
      </c>
      <c r="E43" s="45">
        <f>IF(AND(B43&gt;=Assumptions!$C$16,B43&lt;Assumptions!$C$16+Assumptions!$C$18),'Cost Breakdown'!$E$92,0)</f>
        <v/>
      </c>
      <c r="F43" s="45">
        <f>IF(B43=Assumptions!$C$16+Assumptions!$C$18,'Cost Breakdown'!$E$100,0)</f>
        <v/>
      </c>
      <c r="G43" s="45">
        <f>D43+E43+F43</f>
        <v/>
      </c>
      <c r="H43" s="46">
        <f>IF(AND(B43&gt;=Assumptions!$C$16,B43&lt;Assumptions!$C$16+Assumptions!$C$18),Assumptions!$C$26,0)</f>
        <v/>
      </c>
      <c r="I43" s="47">
        <f>1/(1+Assumptions!$C$21)^C43</f>
        <v/>
      </c>
      <c r="J43" s="45">
        <f>G43*I43</f>
        <v/>
      </c>
      <c r="K43" s="46">
        <f>H43*I43</f>
        <v/>
      </c>
    </row>
    <row r="44">
      <c r="B44" s="48">
        <f>Assumptions!$C$15+35</f>
        <v/>
      </c>
      <c r="C44" s="49" t="n">
        <v>35</v>
      </c>
      <c r="D44" s="50">
        <f>IF(B44&lt;Assumptions!$C$16,'Cost Breakdown'!$E$75/Assumptions!$C$17,0)</f>
        <v/>
      </c>
      <c r="E44" s="50">
        <f>IF(AND(B44&gt;=Assumptions!$C$16,B44&lt;Assumptions!$C$16+Assumptions!$C$18),'Cost Breakdown'!$E$92,0)</f>
        <v/>
      </c>
      <c r="F44" s="50">
        <f>IF(B44=Assumptions!$C$16+Assumptions!$C$18,'Cost Breakdown'!$E$100,0)</f>
        <v/>
      </c>
      <c r="G44" s="50">
        <f>D44+E44+F44</f>
        <v/>
      </c>
      <c r="H44" s="51">
        <f>IF(AND(B44&gt;=Assumptions!$C$16,B44&lt;Assumptions!$C$16+Assumptions!$C$18),Assumptions!$C$26,0)</f>
        <v/>
      </c>
      <c r="I44" s="52">
        <f>1/(1+Assumptions!$C$21)^C44</f>
        <v/>
      </c>
      <c r="J44" s="50">
        <f>G44*I44</f>
        <v/>
      </c>
      <c r="K44" s="51">
        <f>H44*I44</f>
        <v/>
      </c>
    </row>
    <row r="45">
      <c r="B45" s="43">
        <f>Assumptions!$C$15+36</f>
        <v/>
      </c>
      <c r="C45" s="44" t="n">
        <v>36</v>
      </c>
      <c r="D45" s="45">
        <f>IF(B45&lt;Assumptions!$C$16,'Cost Breakdown'!$E$75/Assumptions!$C$17,0)</f>
        <v/>
      </c>
      <c r="E45" s="45">
        <f>IF(AND(B45&gt;=Assumptions!$C$16,B45&lt;Assumptions!$C$16+Assumptions!$C$18),'Cost Breakdown'!$E$92,0)</f>
        <v/>
      </c>
      <c r="F45" s="45">
        <f>IF(B45=Assumptions!$C$16+Assumptions!$C$18,'Cost Breakdown'!$E$100,0)</f>
        <v/>
      </c>
      <c r="G45" s="45">
        <f>D45+E45+F45</f>
        <v/>
      </c>
      <c r="H45" s="46">
        <f>IF(AND(B45&gt;=Assumptions!$C$16,B45&lt;Assumptions!$C$16+Assumptions!$C$18),Assumptions!$C$26,0)</f>
        <v/>
      </c>
      <c r="I45" s="47">
        <f>1/(1+Assumptions!$C$21)^C45</f>
        <v/>
      </c>
      <c r="J45" s="45">
        <f>G45*I45</f>
        <v/>
      </c>
      <c r="K45" s="46">
        <f>H45*I45</f>
        <v/>
      </c>
    </row>
    <row r="46">
      <c r="B46" s="48">
        <f>Assumptions!$C$15+37</f>
        <v/>
      </c>
      <c r="C46" s="49" t="n">
        <v>37</v>
      </c>
      <c r="D46" s="50">
        <f>IF(B46&lt;Assumptions!$C$16,'Cost Breakdown'!$E$75/Assumptions!$C$17,0)</f>
        <v/>
      </c>
      <c r="E46" s="50">
        <f>IF(AND(B46&gt;=Assumptions!$C$16,B46&lt;Assumptions!$C$16+Assumptions!$C$18),'Cost Breakdown'!$E$92,0)</f>
        <v/>
      </c>
      <c r="F46" s="50">
        <f>IF(B46=Assumptions!$C$16+Assumptions!$C$18,'Cost Breakdown'!$E$100,0)</f>
        <v/>
      </c>
      <c r="G46" s="50">
        <f>D46+E46+F46</f>
        <v/>
      </c>
      <c r="H46" s="51">
        <f>IF(AND(B46&gt;=Assumptions!$C$16,B46&lt;Assumptions!$C$16+Assumptions!$C$18),Assumptions!$C$26,0)</f>
        <v/>
      </c>
      <c r="I46" s="52">
        <f>1/(1+Assumptions!$C$21)^C46</f>
        <v/>
      </c>
      <c r="J46" s="50">
        <f>G46*I46</f>
        <v/>
      </c>
      <c r="K46" s="51">
        <f>H46*I46</f>
        <v/>
      </c>
    </row>
    <row r="47">
      <c r="B47" s="43">
        <f>Assumptions!$C$15+38</f>
        <v/>
      </c>
      <c r="C47" s="44" t="n">
        <v>38</v>
      </c>
      <c r="D47" s="45">
        <f>IF(B47&lt;Assumptions!$C$16,'Cost Breakdown'!$E$75/Assumptions!$C$17,0)</f>
        <v/>
      </c>
      <c r="E47" s="45">
        <f>IF(AND(B47&gt;=Assumptions!$C$16,B47&lt;Assumptions!$C$16+Assumptions!$C$18),'Cost Breakdown'!$E$92,0)</f>
        <v/>
      </c>
      <c r="F47" s="45">
        <f>IF(B47=Assumptions!$C$16+Assumptions!$C$18,'Cost Breakdown'!$E$100,0)</f>
        <v/>
      </c>
      <c r="G47" s="45">
        <f>D47+E47+F47</f>
        <v/>
      </c>
      <c r="H47" s="46">
        <f>IF(AND(B47&gt;=Assumptions!$C$16,B47&lt;Assumptions!$C$16+Assumptions!$C$18),Assumptions!$C$26,0)</f>
        <v/>
      </c>
      <c r="I47" s="47">
        <f>1/(1+Assumptions!$C$21)^C47</f>
        <v/>
      </c>
      <c r="J47" s="45">
        <f>G47*I47</f>
        <v/>
      </c>
      <c r="K47" s="46">
        <f>H47*I47</f>
        <v/>
      </c>
    </row>
    <row r="48">
      <c r="B48" s="48">
        <f>Assumptions!$C$15+39</f>
        <v/>
      </c>
      <c r="C48" s="49" t="n">
        <v>39</v>
      </c>
      <c r="D48" s="50">
        <f>IF(B48&lt;Assumptions!$C$16,'Cost Breakdown'!$E$75/Assumptions!$C$17,0)</f>
        <v/>
      </c>
      <c r="E48" s="50">
        <f>IF(AND(B48&gt;=Assumptions!$C$16,B48&lt;Assumptions!$C$16+Assumptions!$C$18),'Cost Breakdown'!$E$92,0)</f>
        <v/>
      </c>
      <c r="F48" s="50">
        <f>IF(B48=Assumptions!$C$16+Assumptions!$C$18,'Cost Breakdown'!$E$100,0)</f>
        <v/>
      </c>
      <c r="G48" s="50">
        <f>D48+E48+F48</f>
        <v/>
      </c>
      <c r="H48" s="51">
        <f>IF(AND(B48&gt;=Assumptions!$C$16,B48&lt;Assumptions!$C$16+Assumptions!$C$18),Assumptions!$C$26,0)</f>
        <v/>
      </c>
      <c r="I48" s="52">
        <f>1/(1+Assumptions!$C$21)^C48</f>
        <v/>
      </c>
      <c r="J48" s="50">
        <f>G48*I48</f>
        <v/>
      </c>
      <c r="K48" s="51">
        <f>H48*I48</f>
        <v/>
      </c>
    </row>
    <row r="49">
      <c r="B49" s="43">
        <f>Assumptions!$C$15+40</f>
        <v/>
      </c>
      <c r="C49" s="44" t="n">
        <v>40</v>
      </c>
      <c r="D49" s="45">
        <f>IF(B49&lt;Assumptions!$C$16,'Cost Breakdown'!$E$75/Assumptions!$C$17,0)</f>
        <v/>
      </c>
      <c r="E49" s="45">
        <f>IF(AND(B49&gt;=Assumptions!$C$16,B49&lt;Assumptions!$C$16+Assumptions!$C$18),'Cost Breakdown'!$E$92,0)</f>
        <v/>
      </c>
      <c r="F49" s="45">
        <f>IF(B49=Assumptions!$C$16+Assumptions!$C$18,'Cost Breakdown'!$E$100,0)</f>
        <v/>
      </c>
      <c r="G49" s="45">
        <f>D49+E49+F49</f>
        <v/>
      </c>
      <c r="H49" s="46">
        <f>IF(AND(B49&gt;=Assumptions!$C$16,B49&lt;Assumptions!$C$16+Assumptions!$C$18),Assumptions!$C$26,0)</f>
        <v/>
      </c>
      <c r="I49" s="47">
        <f>1/(1+Assumptions!$C$21)^C49</f>
        <v/>
      </c>
      <c r="J49" s="45">
        <f>G49*I49</f>
        <v/>
      </c>
      <c r="K49" s="46">
        <f>H49*I49</f>
        <v/>
      </c>
    </row>
    <row r="50">
      <c r="B50" s="48">
        <f>Assumptions!$C$15+41</f>
        <v/>
      </c>
      <c r="C50" s="49" t="n">
        <v>41</v>
      </c>
      <c r="D50" s="50">
        <f>IF(B50&lt;Assumptions!$C$16,'Cost Breakdown'!$E$75/Assumptions!$C$17,0)</f>
        <v/>
      </c>
      <c r="E50" s="50">
        <f>IF(AND(B50&gt;=Assumptions!$C$16,B50&lt;Assumptions!$C$16+Assumptions!$C$18),'Cost Breakdown'!$E$92,0)</f>
        <v/>
      </c>
      <c r="F50" s="50">
        <f>IF(B50=Assumptions!$C$16+Assumptions!$C$18,'Cost Breakdown'!$E$100,0)</f>
        <v/>
      </c>
      <c r="G50" s="50">
        <f>D50+E50+F50</f>
        <v/>
      </c>
      <c r="H50" s="51">
        <f>IF(AND(B50&gt;=Assumptions!$C$16,B50&lt;Assumptions!$C$16+Assumptions!$C$18),Assumptions!$C$26,0)</f>
        <v/>
      </c>
      <c r="I50" s="52">
        <f>1/(1+Assumptions!$C$21)^C50</f>
        <v/>
      </c>
      <c r="J50" s="50">
        <f>G50*I50</f>
        <v/>
      </c>
      <c r="K50" s="51">
        <f>H50*I50</f>
        <v/>
      </c>
    </row>
    <row r="51">
      <c r="B51" s="43">
        <f>Assumptions!$C$15+42</f>
        <v/>
      </c>
      <c r="C51" s="44" t="n">
        <v>42</v>
      </c>
      <c r="D51" s="45">
        <f>IF(B51&lt;Assumptions!$C$16,'Cost Breakdown'!$E$75/Assumptions!$C$17,0)</f>
        <v/>
      </c>
      <c r="E51" s="45">
        <f>IF(AND(B51&gt;=Assumptions!$C$16,B51&lt;Assumptions!$C$16+Assumptions!$C$18),'Cost Breakdown'!$E$92,0)</f>
        <v/>
      </c>
      <c r="F51" s="45">
        <f>IF(B51=Assumptions!$C$16+Assumptions!$C$18,'Cost Breakdown'!$E$100,0)</f>
        <v/>
      </c>
      <c r="G51" s="45">
        <f>D51+E51+F51</f>
        <v/>
      </c>
      <c r="H51" s="46">
        <f>IF(AND(B51&gt;=Assumptions!$C$16,B51&lt;Assumptions!$C$16+Assumptions!$C$18),Assumptions!$C$26,0)</f>
        <v/>
      </c>
      <c r="I51" s="47">
        <f>1/(1+Assumptions!$C$21)^C51</f>
        <v/>
      </c>
      <c r="J51" s="45">
        <f>G51*I51</f>
        <v/>
      </c>
      <c r="K51" s="46">
        <f>H51*I51</f>
        <v/>
      </c>
    </row>
    <row r="52">
      <c r="B52" s="48">
        <f>Assumptions!$C$15+43</f>
        <v/>
      </c>
      <c r="C52" s="49" t="n">
        <v>43</v>
      </c>
      <c r="D52" s="50">
        <f>IF(B52&lt;Assumptions!$C$16,'Cost Breakdown'!$E$75/Assumptions!$C$17,0)</f>
        <v/>
      </c>
      <c r="E52" s="50">
        <f>IF(AND(B52&gt;=Assumptions!$C$16,B52&lt;Assumptions!$C$16+Assumptions!$C$18),'Cost Breakdown'!$E$92,0)</f>
        <v/>
      </c>
      <c r="F52" s="50">
        <f>IF(B52=Assumptions!$C$16+Assumptions!$C$18,'Cost Breakdown'!$E$100,0)</f>
        <v/>
      </c>
      <c r="G52" s="50">
        <f>D52+E52+F52</f>
        <v/>
      </c>
      <c r="H52" s="51">
        <f>IF(AND(B52&gt;=Assumptions!$C$16,B52&lt;Assumptions!$C$16+Assumptions!$C$18),Assumptions!$C$26,0)</f>
        <v/>
      </c>
      <c r="I52" s="52">
        <f>1/(1+Assumptions!$C$21)^C52</f>
        <v/>
      </c>
      <c r="J52" s="50">
        <f>G52*I52</f>
        <v/>
      </c>
      <c r="K52" s="51">
        <f>H52*I52</f>
        <v/>
      </c>
    </row>
    <row r="53">
      <c r="B53" s="43">
        <f>Assumptions!$C$15+44</f>
        <v/>
      </c>
      <c r="C53" s="44" t="n">
        <v>44</v>
      </c>
      <c r="D53" s="45">
        <f>IF(B53&lt;Assumptions!$C$16,'Cost Breakdown'!$E$75/Assumptions!$C$17,0)</f>
        <v/>
      </c>
      <c r="E53" s="45">
        <f>IF(AND(B53&gt;=Assumptions!$C$16,B53&lt;Assumptions!$C$16+Assumptions!$C$18),'Cost Breakdown'!$E$92,0)</f>
        <v/>
      </c>
      <c r="F53" s="45">
        <f>IF(B53=Assumptions!$C$16+Assumptions!$C$18,'Cost Breakdown'!$E$100,0)</f>
        <v/>
      </c>
      <c r="G53" s="45">
        <f>D53+E53+F53</f>
        <v/>
      </c>
      <c r="H53" s="46">
        <f>IF(AND(B53&gt;=Assumptions!$C$16,B53&lt;Assumptions!$C$16+Assumptions!$C$18),Assumptions!$C$26,0)</f>
        <v/>
      </c>
      <c r="I53" s="47">
        <f>1/(1+Assumptions!$C$21)^C53</f>
        <v/>
      </c>
      <c r="J53" s="45">
        <f>G53*I53</f>
        <v/>
      </c>
      <c r="K53" s="46">
        <f>H53*I53</f>
        <v/>
      </c>
    </row>
    <row r="54">
      <c r="B54" s="37" t="inlineStr">
        <is>
          <t>Totals</t>
        </is>
      </c>
      <c r="C54" s="37" t="n"/>
      <c r="D54" s="53">
        <f>SUM(D9:D53)</f>
        <v/>
      </c>
      <c r="E54" s="53">
        <f>SUM(E9:E53)</f>
        <v/>
      </c>
      <c r="F54" s="53">
        <f>SUM(F9:F53)</f>
        <v/>
      </c>
      <c r="G54" s="53">
        <f>SUM(G9:G53)</f>
        <v/>
      </c>
      <c r="H54" s="54">
        <f>SUM(H9:H53)</f>
        <v/>
      </c>
      <c r="I54" s="37" t="n"/>
      <c r="J54" s="53">
        <f>SUM(J9:J53)</f>
        <v/>
      </c>
      <c r="K54" s="54">
        <f>SUM(K9:K53)</f>
        <v/>
      </c>
    </row>
  </sheetData>
  <mergeCells count="2">
    <mergeCell ref="B6:E6"/>
    <mergeCell ref="C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2026-07-14T04:16:43Z</dcterms:created>
  <dcterms:modified xsi:type="dcterms:W3CDTF">2026-07-14T04:16:43Z</dcterms:modified>
</cp:coreProperties>
</file>